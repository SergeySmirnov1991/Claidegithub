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Предложения" sheetId="1" state="visible" r:id="rId1"/>
    <sheet name="Сводная статистика" sheetId="2" state="visible" r:id="rId2"/>
    <sheet name="Примечания" sheetId="3" state="visible" r:id="rId3"/>
    <sheet name="Проверка таблицы" sheetId="4" state="visible" r:id="rId4"/>
  </sheets>
  <definedNames>
    <definedName name="_xlnm._FilterDatabase" localSheetId="0" hidden="1">'Предложения'!$A$1:$Y$123</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quot; ₽&quot;"/>
    <numFmt numFmtId="165" formatCode="0.0%"/>
    <numFmt numFmtId="166" formatCode="#,##0&quot; км&quot;"/>
  </numFmts>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b val="1"/>
      <color rgb="FFFFFFFF"/>
      <sz val="10"/>
    </font>
    <font>
      <name val="Arial"/>
      <charset val="1"/>
      <family val="0"/>
      <sz val="10"/>
    </font>
    <font>
      <name val="Arial"/>
      <charset val="1"/>
      <family val="0"/>
      <color rgb="FF0563C1"/>
      <sz val="10"/>
      <u val="single"/>
    </font>
    <font>
      <name val="Arial"/>
      <charset val="1"/>
      <family val="0"/>
      <b val="1"/>
      <color rgb="FF1F4E78"/>
      <sz val="14"/>
    </font>
    <font>
      <name val="Arial"/>
      <charset val="1"/>
      <family val="0"/>
      <i val="1"/>
      <color rgb="FF595959"/>
      <sz val="10"/>
    </font>
    <font>
      <name val="Arial"/>
      <charset val="1"/>
      <family val="0"/>
      <b val="1"/>
      <color rgb="FFFFFFFF"/>
      <sz val="12"/>
    </font>
    <font>
      <name val="Arial"/>
      <charset val="1"/>
      <family val="0"/>
      <b val="1"/>
      <sz val="10"/>
    </font>
    <font>
      <name val="Arial"/>
      <charset val="1"/>
      <family val="0"/>
      <i val="1"/>
      <sz val="10"/>
    </font>
    <font>
      <name val="Arial"/>
      <charset val="1"/>
      <family val="0"/>
      <b val="1"/>
      <sz val="11"/>
    </font>
  </fonts>
  <fills count="15">
    <fill>
      <patternFill/>
    </fill>
    <fill>
      <patternFill patternType="gray125"/>
    </fill>
    <fill>
      <patternFill patternType="solid">
        <fgColor rgb="FF1F4E78"/>
        <bgColor rgb="FF003366"/>
      </patternFill>
    </fill>
    <fill>
      <patternFill patternType="solid">
        <fgColor rgb="FFFFF2CC"/>
        <bgColor rgb="FFFCE4E4"/>
      </patternFill>
    </fill>
    <fill>
      <patternFill patternType="solid">
        <fgColor rgb="FFE2F0D9"/>
        <bgColor rgb="FFE2EFDA"/>
      </patternFill>
    </fill>
    <fill>
      <patternFill patternType="solid">
        <fgColor rgb="FFF2F2F2"/>
        <bgColor rgb="FFF2F7FC"/>
      </patternFill>
    </fill>
    <fill>
      <patternFill patternType="solid">
        <fgColor rgb="FFF8CBAD"/>
        <bgColor rgb="FFFCE4E4"/>
      </patternFill>
    </fill>
    <fill>
      <patternFill patternType="solid">
        <fgColor rgb="FFF2F7FC"/>
        <bgColor rgb="FFF2F2F2"/>
      </patternFill>
    </fill>
    <fill>
      <patternFill patternType="solid">
        <fgColor rgb="FFE2EFDA"/>
        <bgColor rgb="FFE2F0D9"/>
      </patternFill>
    </fill>
    <fill>
      <patternFill patternType="solid">
        <fgColor rgb="FFFCE4E4"/>
        <bgColor rgb="FFF2F2F2"/>
      </patternFill>
    </fill>
    <fill>
      <patternFill patternType="solid">
        <fgColor rgb="FFDEEBF7"/>
        <bgColor rgb="FFD9E1F2"/>
      </patternFill>
    </fill>
    <fill>
      <patternFill patternType="solid">
        <fgColor rgb="FFC6E0B4"/>
        <bgColor rgb="FFE2EFDA"/>
      </patternFill>
    </fill>
    <fill>
      <patternFill patternType="solid">
        <fgColor rgb="FF4472C4"/>
        <bgColor rgb="FF0563C1"/>
      </patternFill>
    </fill>
    <fill>
      <patternFill patternType="solid">
        <fgColor rgb="FFFFFFFF"/>
        <bgColor rgb="FFF2F7FC"/>
      </patternFill>
    </fill>
    <fill>
      <patternFill patternType="solid">
        <fgColor rgb="FFD9E1F2"/>
        <bgColor rgb="FFDEEBF7"/>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general" vertical="center" wrapText="1"/>
    </xf>
    <xf numFmtId="164" fontId="6" fillId="3" borderId="1" applyAlignment="1" pivotButton="0" quotePrefix="0" xfId="0">
      <alignment horizontal="right" vertical="center"/>
    </xf>
    <xf numFmtId="164" fontId="6" fillId="4" borderId="1" applyAlignment="1" pivotButton="0" quotePrefix="0" xfId="0">
      <alignment horizontal="right" vertical="center"/>
    </xf>
    <xf numFmtId="0" fontId="7" fillId="0" borderId="1" applyAlignment="1" pivotButton="0" quotePrefix="0" xfId="0">
      <alignment horizontal="general" vertical="center" wrapText="1"/>
    </xf>
    <xf numFmtId="0" fontId="6" fillId="0" borderId="1" applyAlignment="1" pivotButton="0" quotePrefix="0" xfId="0">
      <alignment horizontal="general" vertical="center" wrapText="1"/>
    </xf>
    <xf numFmtId="0" fontId="6" fillId="5" borderId="1" applyAlignment="1" pivotButton="0" quotePrefix="0" xfId="0">
      <alignment horizontal="left" vertical="center" wrapText="1"/>
    </xf>
    <xf numFmtId="0" fontId="6" fillId="0" borderId="1" applyAlignment="1" pivotButton="0" quotePrefix="0" xfId="0">
      <alignment horizontal="center" vertical="center" wrapText="1"/>
    </xf>
    <xf numFmtId="164" fontId="6" fillId="0" borderId="1" applyAlignment="1" pivotButton="0" quotePrefix="0" xfId="0">
      <alignment horizontal="right" vertical="center"/>
    </xf>
    <xf numFmtId="0" fontId="6"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6" fillId="7" borderId="1" applyAlignment="1" pivotButton="0" quotePrefix="0" xfId="0">
      <alignment horizontal="general" vertical="center" wrapText="1"/>
    </xf>
    <xf numFmtId="164" fontId="6" fillId="7" borderId="1" applyAlignment="1" pivotButton="0" quotePrefix="0" xfId="0">
      <alignment horizontal="right" vertical="center"/>
    </xf>
    <xf numFmtId="0" fontId="6" fillId="8" borderId="1" applyAlignment="1" pivotButton="0" quotePrefix="0" xfId="0">
      <alignment horizontal="left" vertical="center" wrapText="1"/>
    </xf>
    <xf numFmtId="0" fontId="6" fillId="9" borderId="1" applyAlignment="1" pivotButton="0" quotePrefix="0" xfId="0">
      <alignment horizontal="center" vertical="center" wrapText="1"/>
    </xf>
    <xf numFmtId="0" fontId="6" fillId="9" borderId="1" applyAlignment="1" pivotButton="0" quotePrefix="0" xfId="0">
      <alignment horizontal="general" vertical="center" wrapText="1"/>
    </xf>
    <xf numFmtId="164" fontId="6" fillId="9" borderId="1" applyAlignment="1" pivotButton="0" quotePrefix="0" xfId="0">
      <alignment horizontal="right" vertical="center"/>
    </xf>
    <xf numFmtId="0" fontId="6" fillId="10" borderId="1" applyAlignment="1" pivotButton="0" quotePrefix="0" xfId="0">
      <alignment horizontal="general" vertical="center" wrapText="1"/>
    </xf>
    <xf numFmtId="0" fontId="6" fillId="3" borderId="1" applyAlignment="1" pivotButton="0" quotePrefix="0" xfId="0">
      <alignment horizontal="left" vertical="center" wrapText="1"/>
    </xf>
    <xf numFmtId="0" fontId="7" fillId="9" borderId="1" applyAlignment="1" pivotButton="0" quotePrefix="0" xfId="0">
      <alignment horizontal="general" vertical="center" wrapText="1"/>
    </xf>
    <xf numFmtId="0" fontId="7" fillId="3" borderId="1" applyAlignment="1" pivotButton="0" quotePrefix="0" xfId="0">
      <alignment horizontal="general" vertical="center" wrapText="1"/>
    </xf>
    <xf numFmtId="0" fontId="6" fillId="10" borderId="1" applyAlignment="1" pivotButton="0" quotePrefix="0" xfId="0">
      <alignment horizontal="center" vertical="center" wrapText="1"/>
    </xf>
    <xf numFmtId="164" fontId="6" fillId="10" borderId="1" applyAlignment="1" pivotButton="0" quotePrefix="0" xfId="0">
      <alignment horizontal="right" vertical="center"/>
    </xf>
    <xf numFmtId="0" fontId="7" fillId="10" borderId="1" applyAlignment="1" pivotButton="0" quotePrefix="0" xfId="0">
      <alignment horizontal="general" vertical="center" wrapText="1"/>
    </xf>
    <xf numFmtId="0" fontId="6" fillId="4" borderId="1" applyAlignment="1" pivotButton="0" quotePrefix="0" xfId="0">
      <alignment horizontal="general" vertical="center" wrapText="1"/>
    </xf>
    <xf numFmtId="0" fontId="6" fillId="11" borderId="1" applyAlignment="1" pivotButton="0" quotePrefix="0" xfId="0">
      <alignment horizontal="general" vertical="center" wrapText="1"/>
    </xf>
    <xf numFmtId="0" fontId="7" fillId="4" borderId="1" applyAlignment="1" pivotButton="0" quotePrefix="0" xfId="0">
      <alignment horizontal="general" vertical="center" wrapText="1"/>
    </xf>
    <xf numFmtId="0" fontId="6" fillId="6" borderId="1" applyAlignment="1" pivotButton="0" quotePrefix="0" xfId="0">
      <alignment horizontal="general" vertical="center" wrapText="1"/>
    </xf>
    <xf numFmtId="0" fontId="7" fillId="6" borderId="1" applyAlignment="1" pivotButton="0" quotePrefix="0" xfId="0">
      <alignment horizontal="general" vertical="center"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center" vertical="bottom"/>
    </xf>
    <xf numFmtId="0" fontId="4" fillId="12" borderId="1" applyAlignment="1" pivotButton="0" quotePrefix="0" xfId="0">
      <alignment horizontal="center" vertical="center"/>
    </xf>
    <xf numFmtId="0" fontId="6"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0" fontId="6" fillId="13" borderId="1" applyAlignment="1" pivotButton="0" quotePrefix="0" xfId="0">
      <alignment horizontal="left" vertical="center"/>
    </xf>
    <xf numFmtId="0" fontId="6" fillId="13" borderId="1" applyAlignment="1" pivotButton="0" quotePrefix="0" xfId="0">
      <alignment horizontal="center" vertical="center"/>
    </xf>
    <xf numFmtId="164" fontId="6" fillId="13" borderId="1" applyAlignment="1" pivotButton="0" quotePrefix="0" xfId="0">
      <alignment horizontal="center" vertical="center"/>
    </xf>
    <xf numFmtId="0" fontId="11" fillId="14" borderId="1" applyAlignment="1" pivotButton="0" quotePrefix="0" xfId="0">
      <alignment horizontal="left" vertical="center"/>
    </xf>
    <xf numFmtId="0" fontId="10" fillId="2" borderId="0" applyAlignment="1" pivotButton="0" quotePrefix="0" xfId="0">
      <alignment horizontal="center" vertical="bottom"/>
    </xf>
    <xf numFmtId="0" fontId="6" fillId="0" borderId="1" applyAlignment="1" pivotButton="0" quotePrefix="0" xfId="0">
      <alignment horizontal="center" vertical="center"/>
    </xf>
    <xf numFmtId="165" fontId="6" fillId="0" borderId="1" applyAlignment="1" pivotButton="0" quotePrefix="0" xfId="0">
      <alignment horizontal="center" vertical="center"/>
    </xf>
    <xf numFmtId="0" fontId="0" fillId="0" borderId="0" applyAlignment="1" pivotButton="0" quotePrefix="0" xfId="0">
      <alignment horizontal="general" vertical="bottom"/>
    </xf>
    <xf numFmtId="0" fontId="11" fillId="0" borderId="1" applyAlignment="1" pivotButton="0" quotePrefix="0" xfId="0">
      <alignment horizontal="left" vertical="center"/>
    </xf>
    <xf numFmtId="3" fontId="6" fillId="0" borderId="1" applyAlignment="1" pivotButton="0" quotePrefix="0" xfId="0">
      <alignment horizontal="center" vertical="center"/>
    </xf>
    <xf numFmtId="0" fontId="11" fillId="0" borderId="1" applyAlignment="1" pivotButton="0" quotePrefix="0" xfId="0">
      <alignment horizontal="general" vertical="center"/>
    </xf>
    <xf numFmtId="166" fontId="6" fillId="0" borderId="1" applyAlignment="1" pivotButton="0" quotePrefix="0" xfId="0">
      <alignment horizontal="right" vertical="center"/>
    </xf>
    <xf numFmtId="165" fontId="6" fillId="0" borderId="1" applyAlignment="1" pivotButton="0" quotePrefix="0" xfId="0">
      <alignment horizontal="right" vertical="center"/>
    </xf>
    <xf numFmtId="0" fontId="6" fillId="0" borderId="0" applyAlignment="1" pivotButton="0" quotePrefix="0" xfId="0">
      <alignment horizontal="general" vertical="bottom"/>
    </xf>
    <xf numFmtId="0" fontId="6" fillId="0" borderId="0" applyAlignment="1" pivotButton="0" quotePrefix="0" xfId="0">
      <alignment horizontal="general" vertical="center" wrapText="1"/>
    </xf>
    <xf numFmtId="0" fontId="4" fillId="2"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center" wrapText="1"/>
    </xf>
    <xf numFmtId="0" fontId="11" fillId="3" borderId="0" applyAlignment="1" pivotButton="0" quotePrefix="0" xfId="0">
      <alignment horizontal="general" vertical="bottom"/>
    </xf>
    <xf numFmtId="0" fontId="0" fillId="0" borderId="0" applyAlignment="1" pivotButton="0" quotePrefix="0" xfId="0">
      <alignment horizontal="general" vertical="top" wrapText="1"/>
    </xf>
    <xf numFmtId="0" fontId="11" fillId="4"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general" vertical="center" wrapText="1"/>
    </xf>
    <xf numFmtId="164" fontId="6" fillId="3" borderId="1" applyAlignment="1" pivotButton="0" quotePrefix="0" xfId="0">
      <alignment horizontal="right" vertical="center"/>
    </xf>
    <xf numFmtId="164" fontId="6" fillId="4" borderId="1" applyAlignment="1" pivotButton="0" quotePrefix="0" xfId="0">
      <alignment horizontal="right" vertical="center"/>
    </xf>
    <xf numFmtId="0" fontId="7" fillId="0" borderId="1" applyAlignment="1" pivotButton="0" quotePrefix="0" xfId="0">
      <alignment horizontal="general" vertical="center" wrapText="1"/>
    </xf>
    <xf numFmtId="0" fontId="6" fillId="0" borderId="1" applyAlignment="1" pivotButton="0" quotePrefix="0" xfId="0">
      <alignment horizontal="general" vertical="center" wrapText="1"/>
    </xf>
    <xf numFmtId="0" fontId="6" fillId="5" borderId="1" applyAlignment="1" pivotButton="0" quotePrefix="0" xfId="0">
      <alignment horizontal="left" vertical="center" wrapText="1"/>
    </xf>
    <xf numFmtId="0" fontId="6" fillId="0" borderId="1" applyAlignment="1" pivotButton="0" quotePrefix="0" xfId="0">
      <alignment horizontal="center" vertical="center" wrapText="1"/>
    </xf>
    <xf numFmtId="164" fontId="6" fillId="0" borderId="1" applyAlignment="1" pivotButton="0" quotePrefix="0" xfId="0">
      <alignment horizontal="right" vertical="center"/>
    </xf>
    <xf numFmtId="0" fontId="6"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6" fillId="7" borderId="1" applyAlignment="1" pivotButton="0" quotePrefix="0" xfId="0">
      <alignment horizontal="general" vertical="center" wrapText="1"/>
    </xf>
    <xf numFmtId="164" fontId="6" fillId="7" borderId="1" applyAlignment="1" pivotButton="0" quotePrefix="0" xfId="0">
      <alignment horizontal="right" vertical="center"/>
    </xf>
    <xf numFmtId="0" fontId="6" fillId="8" borderId="1" applyAlignment="1" pivotButton="0" quotePrefix="0" xfId="0">
      <alignment horizontal="left" vertical="center" wrapText="1"/>
    </xf>
    <xf numFmtId="0" fontId="6" fillId="9" borderId="1" applyAlignment="1" pivotButton="0" quotePrefix="0" xfId="0">
      <alignment horizontal="center" vertical="center" wrapText="1"/>
    </xf>
    <xf numFmtId="0" fontId="6" fillId="9" borderId="1" applyAlignment="1" pivotButton="0" quotePrefix="0" xfId="0">
      <alignment horizontal="general" vertical="center" wrapText="1"/>
    </xf>
    <xf numFmtId="164" fontId="6" fillId="9" borderId="1" applyAlignment="1" pivotButton="0" quotePrefix="0" xfId="0">
      <alignment horizontal="right" vertical="center"/>
    </xf>
    <xf numFmtId="0" fontId="6" fillId="10" borderId="1" applyAlignment="1" pivotButton="0" quotePrefix="0" xfId="0">
      <alignment horizontal="general" vertical="center" wrapText="1"/>
    </xf>
    <xf numFmtId="0" fontId="6" fillId="3" borderId="1" applyAlignment="1" pivotButton="0" quotePrefix="0" xfId="0">
      <alignment horizontal="left" vertical="center" wrapText="1"/>
    </xf>
    <xf numFmtId="0" fontId="7" fillId="9" borderId="1" applyAlignment="1" pivotButton="0" quotePrefix="0" xfId="0">
      <alignment horizontal="general" vertical="center" wrapText="1"/>
    </xf>
    <xf numFmtId="0" fontId="7" fillId="3" borderId="1" applyAlignment="1" pivotButton="0" quotePrefix="0" xfId="0">
      <alignment horizontal="general" vertical="center" wrapText="1"/>
    </xf>
    <xf numFmtId="0" fontId="6" fillId="10" borderId="1" applyAlignment="1" pivotButton="0" quotePrefix="0" xfId="0">
      <alignment horizontal="center" vertical="center" wrapText="1"/>
    </xf>
    <xf numFmtId="164" fontId="6" fillId="10" borderId="1" applyAlignment="1" pivotButton="0" quotePrefix="0" xfId="0">
      <alignment horizontal="right" vertical="center"/>
    </xf>
    <xf numFmtId="0" fontId="7" fillId="10" borderId="1" applyAlignment="1" pivotButton="0" quotePrefix="0" xfId="0">
      <alignment horizontal="general" vertical="center" wrapText="1"/>
    </xf>
    <xf numFmtId="0" fontId="6" fillId="4" borderId="1" applyAlignment="1" pivotButton="0" quotePrefix="0" xfId="0">
      <alignment horizontal="general" vertical="center" wrapText="1"/>
    </xf>
    <xf numFmtId="0" fontId="6" fillId="11" borderId="1" applyAlignment="1" pivotButton="0" quotePrefix="0" xfId="0">
      <alignment horizontal="general" vertical="center" wrapText="1"/>
    </xf>
    <xf numFmtId="0" fontId="7" fillId="4" borderId="1" applyAlignment="1" pivotButton="0" quotePrefix="0" xfId="0">
      <alignment horizontal="general" vertical="center" wrapText="1"/>
    </xf>
    <xf numFmtId="0" fontId="6" fillId="6" borderId="1" applyAlignment="1" pivotButton="0" quotePrefix="0" xfId="0">
      <alignment horizontal="general" vertical="center" wrapText="1"/>
    </xf>
    <xf numFmtId="0" fontId="7" fillId="6" borderId="1" applyAlignment="1" pivotButton="0" quotePrefix="0" xfId="0">
      <alignment horizontal="general" vertical="center"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0" applyAlignment="1" pivotButton="0" quotePrefix="0" xfId="0">
      <alignment horizontal="center" vertical="bottom"/>
    </xf>
    <xf numFmtId="0" fontId="4" fillId="12" borderId="1" applyAlignment="1" pivotButton="0" quotePrefix="0" xfId="0">
      <alignment horizontal="center" vertical="center"/>
    </xf>
    <xf numFmtId="0" fontId="6"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0" fontId="6" fillId="13" borderId="1" applyAlignment="1" pivotButton="0" quotePrefix="0" xfId="0">
      <alignment horizontal="left" vertical="center"/>
    </xf>
    <xf numFmtId="0" fontId="6" fillId="13" borderId="1" applyAlignment="1" pivotButton="0" quotePrefix="0" xfId="0">
      <alignment horizontal="center" vertical="center"/>
    </xf>
    <xf numFmtId="164" fontId="6" fillId="13" borderId="1" applyAlignment="1" pivotButton="0" quotePrefix="0" xfId="0">
      <alignment horizontal="center" vertical="center"/>
    </xf>
    <xf numFmtId="0" fontId="11" fillId="14" borderId="1" applyAlignment="1" pivotButton="0" quotePrefix="0" xfId="0">
      <alignment horizontal="left" vertical="center"/>
    </xf>
    <xf numFmtId="165" fontId="6" fillId="0" borderId="1" applyAlignment="1" pivotButton="0" quotePrefix="0" xfId="0">
      <alignment horizontal="center" vertical="center"/>
    </xf>
    <xf numFmtId="0" fontId="11" fillId="0" borderId="1" applyAlignment="1" pivotButton="0" quotePrefix="0" xfId="0">
      <alignment horizontal="left" vertical="center"/>
    </xf>
    <xf numFmtId="3" fontId="6" fillId="0" borderId="1" applyAlignment="1" pivotButton="0" quotePrefix="0" xfId="0">
      <alignment horizontal="center" vertical="center"/>
    </xf>
    <xf numFmtId="0" fontId="11" fillId="0" borderId="1" applyAlignment="1" pivotButton="0" quotePrefix="0" xfId="0">
      <alignment horizontal="general" vertical="center"/>
    </xf>
    <xf numFmtId="166" fontId="6" fillId="0" borderId="1" applyAlignment="1" pivotButton="0" quotePrefix="0" xfId="0">
      <alignment horizontal="right" vertical="center"/>
    </xf>
    <xf numFmtId="165" fontId="6" fillId="0" borderId="1" applyAlignment="1" pivotButton="0" quotePrefix="0" xfId="0">
      <alignment horizontal="right" vertical="center"/>
    </xf>
    <xf numFmtId="0" fontId="6" fillId="0" borderId="0" applyAlignment="1" pivotButton="0" quotePrefix="0" xfId="0">
      <alignment horizontal="general" vertical="bottom"/>
    </xf>
    <xf numFmtId="0" fontId="6" fillId="0" borderId="0" applyAlignment="1" pivotButton="0" quotePrefix="0" xfId="0">
      <alignment horizontal="general" vertical="center" wrapText="1"/>
    </xf>
    <xf numFmtId="0" fontId="4" fillId="2"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center" wrapText="1"/>
    </xf>
    <xf numFmtId="0" fontId="11" fillId="3" borderId="0" applyAlignment="1" pivotButton="0" quotePrefix="0" xfId="0">
      <alignment horizontal="general" vertical="bottom"/>
    </xf>
    <xf numFmtId="0" fontId="0" fillId="0" borderId="0" applyAlignment="1" pivotButton="0" quotePrefix="0" xfId="0">
      <alignment horizontal="general" vertical="top" wrapText="1"/>
    </xf>
    <xf numFmtId="0" fontId="11" fillId="4"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1F4E78"/>
          <bgColor rgb="FF000000"/>
        </patternFill>
      </fill>
    </dxf>
    <dxf>
      <fill>
        <patternFill patternType="solid">
          <fgColor rgb="FFDEEBF7"/>
          <bgColor rgb="FF000000"/>
        </patternFill>
      </fill>
    </dxf>
    <dxf>
      <fill>
        <patternFill patternType="solid">
          <fgColor rgb="FFE2F0D9"/>
          <bgColor rgb="FF000000"/>
        </patternFill>
      </fill>
    </dxf>
    <dxf>
      <fill>
        <patternFill patternType="solid">
          <fgColor rgb="FFF2F7FC"/>
          <bgColor rgb="FF000000"/>
        </patternFill>
      </fill>
    </dxf>
    <dxf>
      <fill>
        <patternFill patternType="solid">
          <fgColor rgb="FFF8CBAD"/>
          <bgColor rgb="FF000000"/>
        </patternFill>
      </fill>
    </dxf>
    <dxf>
      <fill>
        <patternFill patternType="solid">
          <fgColor rgb="FFFCE4E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0563C1"/>
          <bgColor rgb="FF000000"/>
        </patternFill>
      </fill>
    </dxf>
    <dxf>
      <fill>
        <patternFill patternType="solid">
          <fgColor rgb="FFE2EFDA"/>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E2EFDA"/>
      <rgbColor rgb="FFE2F0D9"/>
      <rgbColor rgb="FFF2F2F2"/>
      <rgbColor rgb="FFC6E0B4"/>
      <rgbColor rgb="FFFCE4E4"/>
      <rgbColor rgb="FFF2F7FC"/>
      <rgbColor rgb="FFF8CBAD"/>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sravni.ru/biznes-leasing/technics/67f6b33dc60716c49d161770/" TargetMode="External" Id="rId1" /><Relationship Type="http://schemas.openxmlformats.org/officeDocument/2006/relationships/hyperlink" Target="https://t.me/TeslaRUShop/4332" TargetMode="External" Id="rId2" /><Relationship Type="http://schemas.openxmlformats.org/officeDocument/2006/relationships/hyperlink" Target="https://t.me/TeslaRUShop/4311" TargetMode="External" Id="rId3" /><Relationship Type="http://schemas.openxmlformats.org/officeDocument/2006/relationships/hyperlink" Target="https://t.me/TeslaRUShop/4314" TargetMode="External" Id="rId4" /><Relationship Type="http://schemas.openxmlformats.org/officeDocument/2006/relationships/hyperlink" Target="https://t.me/TeslaRUShop/4320" TargetMode="External" Id="rId5" /><Relationship Type="http://schemas.openxmlformats.org/officeDocument/2006/relationships/hyperlink" Target="https://t.me/TeslaRUShop/3978" TargetMode="External" Id="rId6" /><Relationship Type="http://schemas.openxmlformats.org/officeDocument/2006/relationships/hyperlink" Target="https://t.me/TeslaRUShop/4106" TargetMode="External" Id="rId7" /><Relationship Type="http://schemas.openxmlformats.org/officeDocument/2006/relationships/hyperlink" Target="https://t.me/TeslaRUShop/4085" TargetMode="External" Id="rId8" /><Relationship Type="http://schemas.openxmlformats.org/officeDocument/2006/relationships/hyperlink" Target="https://t.me/s/teslarushop" TargetMode="External" Id="rId9" /><Relationship Type="http://schemas.openxmlformats.org/officeDocument/2006/relationships/hyperlink" Target="https://t.me/TeslaRUShop/4026" TargetMode="External" Id="rId10" /><Relationship Type="http://schemas.openxmlformats.org/officeDocument/2006/relationships/hyperlink" Target="https://auto.drom.ru/tesla/model_y/" TargetMode="External" Id="rId11" /><Relationship Type="http://schemas.openxmlformats.org/officeDocument/2006/relationships/hyperlink" Target="https://auto.drom.ru/tesla/model_y/" TargetMode="External" Id="rId12" /><Relationship Type="http://schemas.openxmlformats.org/officeDocument/2006/relationships/hyperlink" Target="https://auto.drom.ru/tesla/model_y/" TargetMode="External" Id="rId13" /><Relationship Type="http://schemas.openxmlformats.org/officeDocument/2006/relationships/hyperlink" Target="https://auto.drom.ru/tesla/model_y/" TargetMode="External" Id="rId14" /><Relationship Type="http://schemas.openxmlformats.org/officeDocument/2006/relationships/hyperlink" Target="https://auto.drom.ru/tesla/model_y/" TargetMode="External" Id="rId15" /><Relationship Type="http://schemas.openxmlformats.org/officeDocument/2006/relationships/hyperlink" Target="https://auto.drom.ru/tesla/model_y/" TargetMode="External" Id="rId16" /><Relationship Type="http://schemas.openxmlformats.org/officeDocument/2006/relationships/hyperlink" Target="https://auto.drom.ru/tesla/model_y/" TargetMode="External" Id="rId17" /><Relationship Type="http://schemas.openxmlformats.org/officeDocument/2006/relationships/hyperlink" Target="https://auto.drom.ru/tesla/model_y/" TargetMode="External" Id="rId18" /><Relationship Type="http://schemas.openxmlformats.org/officeDocument/2006/relationships/hyperlink" Target="https://auto.drom.ru/tesla/model_y/" TargetMode="External" Id="rId19" /><Relationship Type="http://schemas.openxmlformats.org/officeDocument/2006/relationships/hyperlink" Target="https://auto.drom.ru/tesla/model_y/" TargetMode="External" Id="rId20" /><Relationship Type="http://schemas.openxmlformats.org/officeDocument/2006/relationships/hyperlink" Target="https://auto.drom.ru/tesla/model_y/" TargetMode="External" Id="rId21" /><Relationship Type="http://schemas.openxmlformats.org/officeDocument/2006/relationships/hyperlink" Target="https://moscowteslaclub.ru/" TargetMode="External" Id="rId22" /><Relationship Type="http://schemas.openxmlformats.org/officeDocument/2006/relationships/hyperlink" Target="https://moscowteslaclub.ru/car/tesla-model-y-performance_7078" TargetMode="External" Id="rId23" /><Relationship Type="http://schemas.openxmlformats.org/officeDocument/2006/relationships/hyperlink" Target="https://moscowteslaclub.ru/car/tesla-model-y-performance_63345" TargetMode="External" Id="rId24" /><Relationship Type="http://schemas.openxmlformats.org/officeDocument/2006/relationships/hyperlink" Target="https://moscowteslaclub.ru/" TargetMode="External" Id="rId25" /><Relationship Type="http://schemas.openxmlformats.org/officeDocument/2006/relationships/hyperlink" Target="https://electrodrivemoscow.ru/" TargetMode="External" Id="rId26" /><Relationship Type="http://schemas.openxmlformats.org/officeDocument/2006/relationships/hyperlink" Target="https://autopremiumgroup.ru/" TargetMode="External" Id="rId27" /><Relationship Type="http://schemas.openxmlformats.org/officeDocument/2006/relationships/hyperlink" Target="https://autopremiumgroup.ru/" TargetMode="External" Id="rId28" /><Relationship Type="http://schemas.openxmlformats.org/officeDocument/2006/relationships/hyperlink" Target="https://www.avito.ru/all/avtomobili/tesla/model_y-ASgBAgICAkTgtg2umSjitg22qTo?cd=1&amp;s=104" TargetMode="External" Id="rId29" /><Relationship Type="http://schemas.openxmlformats.org/officeDocument/2006/relationships/hyperlink" Target="https://www.avito.ru/all/avtomobili/tesla/model_y-ASgBAgICAkTgtg2umSjitg22qTo?cd=1&amp;s=104" TargetMode="External" Id="rId30" /><Relationship Type="http://schemas.openxmlformats.org/officeDocument/2006/relationships/hyperlink" Target="https://www.avito.ru/vladivostok/avtomobili/tesla_model_y_at_2025_10_700_km_8205685953" TargetMode="External" Id="rId31" /><Relationship Type="http://schemas.openxmlformats.org/officeDocument/2006/relationships/hyperlink" Target="https://www.avito.ru/izhevsk/avtomobili/tesla_model_y_at_2023_9_500_km_7855755142" TargetMode="External" Id="rId32" /><Relationship Type="http://schemas.openxmlformats.org/officeDocument/2006/relationships/hyperlink" Target="https://www.avito.ru/all/avtomobili/tesla/model_y-ASgBAgICAkTgtg2umSjitg22qTo?cd=1&amp;s=104" TargetMode="External" Id="rId33" /><Relationship Type="http://schemas.openxmlformats.org/officeDocument/2006/relationships/hyperlink" Target="https://www.avito.ru/all/avtomobili/tesla/model_y-ASgBAgICAkTgtg2umSjitg22qTo?cd=1&amp;s=104" TargetMode="External" Id="rId34" /><Relationship Type="http://schemas.openxmlformats.org/officeDocument/2006/relationships/hyperlink" Target="https://www.avito.ru/all/avtomobili/tesla/model_y-ASgBAgICAkTgtg2umSjitg22qTo?cd=1&amp;s=104" TargetMode="External" Id="rId35" /><Relationship Type="http://schemas.openxmlformats.org/officeDocument/2006/relationships/hyperlink" Target="https://www.avito.ru/all/avtomobili/tesla/model_y-ASgBAgICAkTgtg2umSjitg22qTo?cd=1&amp;s=104" TargetMode="External" Id="rId36" /><Relationship Type="http://schemas.openxmlformats.org/officeDocument/2006/relationships/hyperlink" Target="https://www.avito.ru/krasnodar/avtomobili/tesla_model_y_at_2023_55_000_km_8099120073" TargetMode="External" Id="rId37" /><Relationship Type="http://schemas.openxmlformats.org/officeDocument/2006/relationships/hyperlink" Target="https://www.avito.ru/sankt-peterburg/avtomobili/tesla_model_y_at_2023_25_000_km_3806749384" TargetMode="External" Id="rId38" /><Relationship Type="http://schemas.openxmlformats.org/officeDocument/2006/relationships/hyperlink" Target="https://www.avito.ru/moskovskaya_oblast_krasnogorsk/avtomobili/tesla_model_y_at_2023_62_000_km_8020053008" TargetMode="External" Id="rId39" /><Relationship Type="http://schemas.openxmlformats.org/officeDocument/2006/relationships/hyperlink" Target="https://www.avito.ru/stavropol/avtomobili/tesla_model_y_at_2023_19_500_km_3225471165" TargetMode="External" Id="rId40" /><Relationship Type="http://schemas.openxmlformats.org/officeDocument/2006/relationships/hyperlink" Target="https://www.avito.ru/all/avtomobili/tesla/model_y-ASgBAgICAkTgtg2umSjitg22qTo?cd=1&amp;s=104" TargetMode="External" Id="rId41" /><Relationship Type="http://schemas.openxmlformats.org/officeDocument/2006/relationships/hyperlink" Target="https://www.avito.ru/all/avtomobili/tesla/model_y-ASgBAgICAkTgtg2umSjitg22qTo?cd=1&amp;s=104" TargetMode="External" Id="rId42" /><Relationship Type="http://schemas.openxmlformats.org/officeDocument/2006/relationships/hyperlink" Target="https://www.avito.ru/all/avtomobili/tesla/model_y-ASgBAgICAkTgtg2umSjitg22qTo?cd=1&amp;s=104" TargetMode="External" Id="rId43" /><Relationship Type="http://schemas.openxmlformats.org/officeDocument/2006/relationships/hyperlink" Target="https://www.avito.ru/moskva/avtomobili/tesla_model_y_at_2022_21_000_km_8007200599" TargetMode="External" Id="rId44" /><Relationship Type="http://schemas.openxmlformats.org/officeDocument/2006/relationships/hyperlink" Target="https://www.avito.ru/moskva/avtomobili/tesla_model_y_at_2021_39_000_km_3965525550" TargetMode="External" Id="rId45" /><Relationship Type="http://schemas.openxmlformats.org/officeDocument/2006/relationships/hyperlink" Target="https://www.avito.ru/moskva/avtomobili/tesla_model_y_at_2022_29_000_km_4316459576" TargetMode="External" Id="rId46" /><Relationship Type="http://schemas.openxmlformats.org/officeDocument/2006/relationships/hyperlink" Target="https://www.avito.ru/all/avtomobili/tesla/model_y-ASgBAgICAkTgtg2umSjitg22qTo?cd=1&amp;s=104" TargetMode="External" Id="rId47" /><Relationship Type="http://schemas.openxmlformats.org/officeDocument/2006/relationships/hyperlink" Target="https://www.avito.ru/sochi/avtomobili/tesla_model_y_at_2022_60_000_km_8052813749" TargetMode="External" Id="rId48" /><Relationship Type="http://schemas.openxmlformats.org/officeDocument/2006/relationships/hyperlink" Target="https://www.avito.ru/moskva/avtomobili/tesla_model_y_at_2022_48_000_km_8079671471" TargetMode="External" Id="rId49" /><Relationship Type="http://schemas.openxmlformats.org/officeDocument/2006/relationships/hyperlink" Target="https://www.avito.ru/kaliningrad/avtomobili/tesla_model_y_at_2022_59_600_km_8104912278" TargetMode="External" Id="rId50" /><Relationship Type="http://schemas.openxmlformats.org/officeDocument/2006/relationships/hyperlink" Target="https://www.avito.ru/kazan/avtomobili/tesla_model_y_at_2022_25_000_km_8052504546" TargetMode="External" Id="rId51" /><Relationship Type="http://schemas.openxmlformats.org/officeDocument/2006/relationships/hyperlink" Target="https://www.avito.ru/kostroma/avtomobili/tesla_model_y_at_2022_53_100_km_8173710409" TargetMode="External" Id="rId52" /><Relationship Type="http://schemas.openxmlformats.org/officeDocument/2006/relationships/hyperlink" Target="https://www.avito.ru/moskva/avtomobili/tesla_model_y_at_2022_63_000_km_8099221503" TargetMode="External" Id="rId53" /><Relationship Type="http://schemas.openxmlformats.org/officeDocument/2006/relationships/hyperlink" Target="https://www.avito.ru/all/avtomobili/tesla/model_y-ASgBAgICAkTgtg2umSjitg22qTo?cd=1&amp;s=104" TargetMode="External" Id="rId54" /><Relationship Type="http://schemas.openxmlformats.org/officeDocument/2006/relationships/hyperlink" Target="https://www.avito.ru/all/avtomobili/tesla/model_y-ASgBAgICAkTgtg2umSjitg22qTo?cd=1&amp;s=104" TargetMode="External" Id="rId55" /><Relationship Type="http://schemas.openxmlformats.org/officeDocument/2006/relationships/hyperlink" Target="https://www.avito.ru/tolyatti/avtomobili/tesla_model_y_at_2022_83_000_km_8066700933" TargetMode="External" Id="rId56" /><Relationship Type="http://schemas.openxmlformats.org/officeDocument/2006/relationships/hyperlink" Target="https://www.avito.ru/all/avtomobili/tesla/model_y-ASgBAgICAkTgtg2umSjitg22qTo?cd=1&amp;s=104" TargetMode="External" Id="rId57" /><Relationship Type="http://schemas.openxmlformats.org/officeDocument/2006/relationships/hyperlink" Target="https://www.avito.ru/krasnodar/avtomobili/tesla_model_y_at_2022_45_000_km_7904687473" TargetMode="External" Id="rId58" /><Relationship Type="http://schemas.openxmlformats.org/officeDocument/2006/relationships/hyperlink" Target="https://www.avito.ru/elabuga/avtomobili/tesla_model_y_at_2022_43_000_km_7838197885" TargetMode="External" Id="rId59" /><Relationship Type="http://schemas.openxmlformats.org/officeDocument/2006/relationships/hyperlink" Target="https://www.avito.ru/all/avtomobili/tesla/model_y-ASgBAgICAkTgtg2umSjitg22qTo?cd=1&amp;s=104" TargetMode="External" Id="rId60" /><Relationship Type="http://schemas.openxmlformats.org/officeDocument/2006/relationships/hyperlink" Target="https://www.avito.ru/all/avtomobili/tesla/model_y-ASgBAgICAkTgtg2umSjitg22qTo?cd=1&amp;s=104" TargetMode="External" Id="rId61" /><Relationship Type="http://schemas.openxmlformats.org/officeDocument/2006/relationships/hyperlink" Target="https://www.avito.ru/sankt-peterburg/avtomobili/tesla_model_y_at_2022_81_000_km_7924260929" TargetMode="External" Id="rId62" /><Relationship Type="http://schemas.openxmlformats.org/officeDocument/2006/relationships/hyperlink" Target="https://www.avito.ru/all/avtomobili/tesla/model_y-ASgBAgICAkTgtg2umSjitg22qTo?cd=1&amp;s=104" TargetMode="External" Id="rId63" /><Relationship Type="http://schemas.openxmlformats.org/officeDocument/2006/relationships/hyperlink" Target="https://www.avito.ru/vladikavkaz/avtomobili/tesla_model_y_at_2022_55_000_km_7914871770" TargetMode="External" Id="rId64" /><Relationship Type="http://schemas.openxmlformats.org/officeDocument/2006/relationships/hyperlink" Target="https://www.avito.ru/ekaterinburg/avtomobili/tesla_model_y_at_2022_35_000_km_7907023318" TargetMode="External" Id="rId65" /><Relationship Type="http://schemas.openxmlformats.org/officeDocument/2006/relationships/hyperlink" Target="https://www.avito.ru/all/avtomobili/tesla/model_y-ASgBAgICAkTgtg2umSjitg22qTo?cd=1&amp;s=104" TargetMode="External" Id="rId66" /><Relationship Type="http://schemas.openxmlformats.org/officeDocument/2006/relationships/hyperlink" Target="https://www.avito.ru/all/avtomobili/tesla/model_y-ASgBAgICAkTgtg2umSjitg22qTo?cd=1&amp;s=104" TargetMode="External" Id="rId67" /><Relationship Type="http://schemas.openxmlformats.org/officeDocument/2006/relationships/hyperlink" Target="https://www.avito.ru/all/avtomobili/tesla/model_y-ASgBAgICAkTgtg2umSjitg22qTo?cd=1&amp;s=104" TargetMode="External" Id="rId68" /><Relationship Type="http://schemas.openxmlformats.org/officeDocument/2006/relationships/hyperlink" Target="https://www.avito.ru/kerch/avtomobili/tesla_model_y_at_2023_41_000_km_8066292736" TargetMode="External" Id="rId69" /><Relationship Type="http://schemas.openxmlformats.org/officeDocument/2006/relationships/hyperlink" Target="https://www.avito.ru/perm/avtomobili/tesla_model_y_at_2023_29_123_km_4231896377" TargetMode="External" Id="rId70" /><Relationship Type="http://schemas.openxmlformats.org/officeDocument/2006/relationships/hyperlink" Target="https://www.avito.ru/all/avtomobili/tesla/model_y-ASgBAgICAkTgtg2umSjitg22qTo?cd=1&amp;s=104" TargetMode="External" Id="rId71" /><Relationship Type="http://schemas.openxmlformats.org/officeDocument/2006/relationships/hyperlink" Target="https://www.avito.ru/all/avtomobili/tesla/model_y-ASgBAgICAkTgtg2umSjitg22qTo?cd=1&amp;s=104" TargetMode="External" Id="rId72" /><Relationship Type="http://schemas.openxmlformats.org/officeDocument/2006/relationships/hyperlink" Target="https://www.avito.ru/moskva/avtomobili/tesla_model_y_at_2022_130_000_km_7979073382" TargetMode="External" Id="rId73" /><Relationship Type="http://schemas.openxmlformats.org/officeDocument/2006/relationships/hyperlink" Target="https://www.avito.ru/minsk/avtomobili/tesla_model_y_at_2023_24_000_km_8045821626" TargetMode="External" Id="rId74" /><Relationship Type="http://schemas.openxmlformats.org/officeDocument/2006/relationships/hyperlink" Target="https://www.avito.ru/all/avtomobili/tesla/model_y-ASgBAgICAkTgtg2umSjitg22qTo?cd=1&amp;s=104" TargetMode="External" Id="rId75" /><Relationship Type="http://schemas.openxmlformats.org/officeDocument/2006/relationships/hyperlink" Target="https://www.avito.ru/all/avtomobili/tesla/model_y-ASgBAgICAkTgtg2umSjitg22qTo?cd=1&amp;s=104" TargetMode="External" Id="rId76" /><Relationship Type="http://schemas.openxmlformats.org/officeDocument/2006/relationships/hyperlink" Target="https://auto.ru/cars/tesla/model_y/all/?year_from=2022&amp;gear_type=ALL_WHEEL_DRIVE" TargetMode="External" Id="rId77" /><Relationship Type="http://schemas.openxmlformats.org/officeDocument/2006/relationships/hyperlink" Target="https://auto.ru/cars/tesla/model_y/all/?year_from=2022&amp;gear_type=ALL_WHEEL_DRIVE" TargetMode="External" Id="rId78" /><Relationship Type="http://schemas.openxmlformats.org/officeDocument/2006/relationships/hyperlink" Target="https://auto.ru/cars/tesla/model_y/all/?year_from=2022&amp;gear_type=ALL_WHEEL_DRIVE" TargetMode="External" Id="rId79" /><Relationship Type="http://schemas.openxmlformats.org/officeDocument/2006/relationships/hyperlink" Target="https://auto.ru/cars/tesla/model_y/all/?year_from=2022&amp;gear_type=ALL_WHEEL_DRIVE" TargetMode="External" Id="rId80" /><Relationship Type="http://schemas.openxmlformats.org/officeDocument/2006/relationships/hyperlink" Target="https://auto.ru/cars/tesla/model_y/all/?year_from=2022&amp;gear_type=ALL_WHEEL_DRIVE" TargetMode="External" Id="rId81" /><Relationship Type="http://schemas.openxmlformats.org/officeDocument/2006/relationships/hyperlink" Target="https://auto.ru/cars/tesla/model_y/all/?year_from=2022&amp;gear_type=ALL_WHEEL_DRIVE" TargetMode="External" Id="rId82" /><Relationship Type="http://schemas.openxmlformats.org/officeDocument/2006/relationships/hyperlink" Target="https://auto.ru/cars/tesla/model_y/all/?year_from=2022&amp;gear_type=ALL_WHEEL_DRIVE" TargetMode="External" Id="rId83" /><Relationship Type="http://schemas.openxmlformats.org/officeDocument/2006/relationships/hyperlink" Target="https://auto.ru/cars/tesla/model_y/all/?year_from=2022&amp;gear_type=ALL_WHEEL_DRIVE" TargetMode="External" Id="rId84" /><Relationship Type="http://schemas.openxmlformats.org/officeDocument/2006/relationships/hyperlink" Target="https://auto.ru/cars/tesla/model_y/all/?year_from=2022&amp;gear_type=ALL_WHEEL_DRIVE" TargetMode="External" Id="rId85" /><Relationship Type="http://schemas.openxmlformats.org/officeDocument/2006/relationships/hyperlink" Target="https://auto.ru/cars/tesla/model_y/all/?year_from=2022&amp;gear_type=ALL_WHEEL_DRIVE" TargetMode="External" Id="rId86" /><Relationship Type="http://schemas.openxmlformats.org/officeDocument/2006/relationships/hyperlink" Target="https://auto.ru/cars/tesla/model_y/all/?year_from=2022&amp;gear_type=ALL_WHEEL_DRIVE" TargetMode="External" Id="rId87" /><Relationship Type="http://schemas.openxmlformats.org/officeDocument/2006/relationships/hyperlink" Target="https://auto.ru/cars/tesla/model_y/all/?year_from=2022&amp;gear_type=ALL_WHEEL_DRIVE" TargetMode="External" Id="rId88" /><Relationship Type="http://schemas.openxmlformats.org/officeDocument/2006/relationships/hyperlink" Target="https://auto.ru/cars/tesla/model_y/all/?year_from=2022&amp;gear_type=ALL_WHEEL_DRIVE" TargetMode="External" Id="rId89" /><Relationship Type="http://schemas.openxmlformats.org/officeDocument/2006/relationships/hyperlink" Target="https://auto.ru/cars/tesla/model_y/all/?year_from=2022&amp;gear_type=ALL_WHEEL_DRIVE" TargetMode="External" Id="rId90" /><Relationship Type="http://schemas.openxmlformats.org/officeDocument/2006/relationships/hyperlink" Target="https://auto.ru/cars/tesla/model_y/all/?year_from=2022&amp;gear_type=ALL_WHEEL_DRIVE" TargetMode="External" Id="rId91" /><Relationship Type="http://schemas.openxmlformats.org/officeDocument/2006/relationships/hyperlink" Target="https://auto.ru/cars/tesla/model_y/all/?year_from=2022&amp;gear_type=ALL_WHEEL_DRIVE" TargetMode="External" Id="rId92" /><Relationship Type="http://schemas.openxmlformats.org/officeDocument/2006/relationships/hyperlink" Target="https://auto.ru/cars/tesla/model_y/all/?year_from=2022&amp;gear_type=ALL_WHEEL_DRIVE" TargetMode="External" Id="rId93" /><Relationship Type="http://schemas.openxmlformats.org/officeDocument/2006/relationships/hyperlink" Target="https://auto.ru/cars/tesla/model_y/all/?year_from=2022&amp;gear_type=ALL_WHEEL_DRIVE" TargetMode="External" Id="rId94" /><Relationship Type="http://schemas.openxmlformats.org/officeDocument/2006/relationships/hyperlink" Target="https://auto.ru/cars/tesla/model_y/all/?year_from=2022&amp;gear_type=ALL_WHEEL_DRIVE" TargetMode="External" Id="rId95" /><Relationship Type="http://schemas.openxmlformats.org/officeDocument/2006/relationships/hyperlink" Target="https://auto.ru/cars/tesla/model_y/all/?year_from=2022&amp;gear_type=ALL_WHEEL_DRIVE" TargetMode="External" Id="rId96" /><Relationship Type="http://schemas.openxmlformats.org/officeDocument/2006/relationships/hyperlink" Target="https://auto.ru/cars/tesla/model_y/all/?year_from=2022&amp;gear_type=ALL_WHEEL_DRIVE" TargetMode="External" Id="rId97" /><Relationship Type="http://schemas.openxmlformats.org/officeDocument/2006/relationships/hyperlink" Target="https://auto.ru/cars/tesla/model_y/all/?year_from=2022&amp;gear_type=ALL_WHEEL_DRIVE" TargetMode="External" Id="rId98" /><Relationship Type="http://schemas.openxmlformats.org/officeDocument/2006/relationships/hyperlink" Target="https://auto.ru/cars/tesla/model_y/all/?year_from=2022&amp;gear_type=ALL_WHEEL_DRIVE" TargetMode="External" Id="rId99" /><Relationship Type="http://schemas.openxmlformats.org/officeDocument/2006/relationships/hyperlink" Target="https://auto.ru/cars/tesla/model_y/all/?year_from=2022&amp;gear_type=ALL_WHEEL_DRIVE" TargetMode="External" Id="rId100" /><Relationship Type="http://schemas.openxmlformats.org/officeDocument/2006/relationships/hyperlink" Target="https://auto.ru/cars/tesla/model_y/all/?year_from=2022&amp;gear_type=ALL_WHEEL_DRIVE" TargetMode="External" Id="rId101" /><Relationship Type="http://schemas.openxmlformats.org/officeDocument/2006/relationships/hyperlink" Target="https://auto.ru/cars/tesla/model_y/all/?year_from=2022&amp;gear_type=ALL_WHEEL_DRIVE" TargetMode="External" Id="rId102" /><Relationship Type="http://schemas.openxmlformats.org/officeDocument/2006/relationships/hyperlink" Target="https://auto.ru/cars/tesla/model_y/all/?year_from=2022&amp;gear_type=ALL_WHEEL_DRIVE" TargetMode="External" Id="rId103" /><Relationship Type="http://schemas.openxmlformats.org/officeDocument/2006/relationships/hyperlink" Target="https://auto.ru/cars/tesla/model_y/all/?year_from=2022&amp;gear_type=ALL_WHEEL_DRIVE" TargetMode="External" Id="rId104" /><Relationship Type="http://schemas.openxmlformats.org/officeDocument/2006/relationships/hyperlink" Target="https://auto.ru/cars/tesla/model_y/all/?year_from=2022&amp;gear_type=ALL_WHEEL_DRIVE" TargetMode="External" Id="rId105" /><Relationship Type="http://schemas.openxmlformats.org/officeDocument/2006/relationships/hyperlink" Target="https://auto.ru/cars/tesla/model_y/all/?year_from=2022&amp;gear_type=ALL_WHEEL_DRIVE" TargetMode="External" Id="rId106" /><Relationship Type="http://schemas.openxmlformats.org/officeDocument/2006/relationships/hyperlink" Target="https://auto.ru/cars/tesla/model_y/all/?year_from=2022&amp;gear_type=ALL_WHEEL_DRIVE" TargetMode="External" Id="rId107" /><Relationship Type="http://schemas.openxmlformats.org/officeDocument/2006/relationships/hyperlink" Target="https://auto.ru/cars/tesla/model_y/all/?year_from=2022&amp;gear_type=ALL_WHEEL_DRIVE" TargetMode="External" Id="rId108" /><Relationship Type="http://schemas.openxmlformats.org/officeDocument/2006/relationships/hyperlink" Target="https://auto.ru/cars/tesla/model_y/all/?year_from=2022&amp;gear_type=ALL_WHEEL_DRIVE" TargetMode="External" Id="rId109" /><Relationship Type="http://schemas.openxmlformats.org/officeDocument/2006/relationships/hyperlink" Target="https://auto.ru/cars/tesla/model_y/all/?year_from=2022&amp;gear_type=ALL_WHEEL_DRIVE" TargetMode="External" Id="rId110" /><Relationship Type="http://schemas.openxmlformats.org/officeDocument/2006/relationships/hyperlink" Target="https://auto.ru/cars/tesla/model_y/all/?year_from=2022&amp;gear_type=ALL_WHEEL_DRIVE" TargetMode="External" Id="rId111" /><Relationship Type="http://schemas.openxmlformats.org/officeDocument/2006/relationships/hyperlink" Target="https://auto.ru/cars/tesla/model_y/all/?year_from=2022&amp;gear_type=ALL_WHEEL_DRIVE" TargetMode="External" Id="rId112" /><Relationship Type="http://schemas.openxmlformats.org/officeDocument/2006/relationships/hyperlink" Target="https://auto.ru/cars/tesla/model_y/all/?year_from=2022&amp;gear_type=ALL_WHEEL_DRIVE" TargetMode="External" Id="rId113" /><Relationship Type="http://schemas.openxmlformats.org/officeDocument/2006/relationships/hyperlink" Target="https://auto.ru/cars/tesla/model_y/all/?year_from=2022&amp;gear_type=ALL_WHEEL_DRIVE" TargetMode="External" Id="rId114" /><Relationship Type="http://schemas.openxmlformats.org/officeDocument/2006/relationships/hyperlink" Target="https://auto.ru/cars/tesla/model_y/all/?year_from=2022&amp;gear_type=ALL_WHEEL_DRIVE" TargetMode="External" Id="rId115" /><Relationship Type="http://schemas.openxmlformats.org/officeDocument/2006/relationships/hyperlink" Target="https://auto.ru/cars/tesla/model_y/all/?year_from=2022&amp;gear_type=ALL_WHEEL_DRIVE" TargetMode="External" Id="rId116" /><Relationship Type="http://schemas.openxmlformats.org/officeDocument/2006/relationships/hyperlink" Target="https://www.avito.ru/ulyanovsk/avtomobili/tesla_model_y_at_2021_60_000_km_8093218887" TargetMode="External" Id="rId117" /><Relationship Type="http://schemas.openxmlformats.org/officeDocument/2006/relationships/hyperlink" Target="https://www.avito.ru/podolsk/avtomobili/tesla_model_y_at_2022_68_000_km_8068864754" TargetMode="External" Id="rId118" /><Relationship Type="http://schemas.openxmlformats.org/officeDocument/2006/relationships/hyperlink" Target="https://www.avito.ru/kultaevo/avtomobili/tesla_model_y_at_2020_65_000_km_8092549136" TargetMode="External" Id="rId119" /><Relationship Type="http://schemas.openxmlformats.org/officeDocument/2006/relationships/hyperlink" Target="https://www.avito.ru/tolyatti/avtomobili/tesla_model_y_at_2023_29_000_km_8137492178" TargetMode="External" Id="rId120" /><Relationship Type="http://schemas.openxmlformats.org/officeDocument/2006/relationships/hyperlink" Target="https://www.avito.ru/moskva/avtomobili/tesla_model_y_at_2022_40_000_km_8062123497" TargetMode="External" Id="rId121" /><Relationship Type="http://schemas.openxmlformats.org/officeDocument/2006/relationships/hyperlink" Target="https://www.avito.ru/moskva/avtomobili/tesla_model_y_at_2022_48_000_km_8079671471" TargetMode="External" Id="rId122" /></Relationships>
</file>

<file path=xl/worksheets/sheet1.xml><?xml version="1.0" encoding="utf-8"?>
<worksheet xmlns="http://schemas.openxmlformats.org/spreadsheetml/2006/main">
  <sheetPr filterMode="0">
    <outlinePr summaryBelow="1" summaryRight="1"/>
    <pageSetUpPr fitToPage="0"/>
  </sheetPr>
  <dimension ref="A1:Y12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63" min="1" max="1"/>
    <col width="22" customWidth="1" style="63" min="2" max="2"/>
    <col width="8" customWidth="1" style="63" min="3" max="3"/>
    <col width="14" customWidth="1" style="63" min="4" max="4"/>
    <col width="24" customWidth="1" style="63" min="5" max="5"/>
    <col width="12" customWidth="1" style="63" min="6" max="6"/>
    <col width="16" customWidth="1" style="63" min="7" max="7"/>
    <col width="14" customWidth="1" style="63" min="8" max="8"/>
    <col width="18" customWidth="1" style="63" min="9" max="9"/>
    <col width="10" customWidth="1" style="63" min="10" max="10"/>
    <col width="14" customWidth="1" style="63" min="11" max="11"/>
    <col width="18" customWidth="1" style="63" min="12" max="12"/>
    <col width="14" customWidth="1" style="63" min="13" max="13"/>
    <col width="16" customWidth="1" style="63" min="14" max="14"/>
    <col width="24" customWidth="1" style="63" min="15" max="15"/>
    <col width="18" customWidth="1" style="63" min="16" max="16"/>
    <col width="24" customWidth="1" style="63" min="17" max="17"/>
    <col width="42" customWidth="1" style="63" min="18" max="18"/>
    <col width="14" customWidth="1" style="63" min="19" max="19"/>
    <col width="38" customWidth="1" style="63" min="20" max="20"/>
    <col width="60" customWidth="1" style="63" min="21" max="21"/>
    <col width="22" customWidth="1" style="63" min="22" max="22"/>
    <col width="14" customWidth="1" style="63" min="23" max="23"/>
    <col width="35" customWidth="1" style="63" min="24" max="24"/>
    <col width="50" customWidth="1" style="63" min="25" max="25"/>
  </cols>
  <sheetData>
    <row r="1" ht="36" customHeight="1" s="64">
      <c r="A1" s="65" t="inlineStr">
        <is>
          <t>№</t>
        </is>
      </c>
      <c r="B1" s="65" t="inlineStr">
        <is>
          <t>Источник</t>
        </is>
      </c>
      <c r="C1" s="65" t="inlineStr">
        <is>
          <t>Год</t>
        </is>
      </c>
      <c r="D1" s="65" t="inlineStr">
        <is>
          <t>Месяц вып.</t>
        </is>
      </c>
      <c r="E1" s="65" t="inlineStr">
        <is>
          <t>Модификация</t>
        </is>
      </c>
      <c r="F1" s="65" t="inlineStr">
        <is>
          <t>Пробег (км)</t>
        </is>
      </c>
      <c r="G1" s="65" t="inlineStr">
        <is>
          <t>Цвет кузова</t>
        </is>
      </c>
      <c r="H1" s="65" t="inlineStr">
        <is>
          <t>Цвет салона</t>
        </is>
      </c>
      <c r="I1" s="65" t="inlineStr">
        <is>
          <t>Состояние</t>
        </is>
      </c>
      <c r="J1" s="65" t="inlineStr">
        <is>
          <t>Битая</t>
        </is>
      </c>
      <c r="K1" s="65" t="inlineStr">
        <is>
          <t>FSD / Автопилот</t>
        </is>
      </c>
      <c r="L1" s="65" t="inlineStr">
        <is>
          <t>Город</t>
        </is>
      </c>
      <c r="M1" s="65" t="inlineStr">
        <is>
          <t>Цена (₽)</t>
        </is>
      </c>
      <c r="N1" s="65" t="inlineStr">
        <is>
          <t>Цена без НДС (₽)</t>
        </is>
      </c>
      <c r="O1" s="65" t="inlineStr">
        <is>
          <t>Продавец</t>
        </is>
      </c>
      <c r="P1" s="65" t="inlineStr">
        <is>
          <t>Происхождение</t>
        </is>
      </c>
      <c r="Q1" s="65" t="inlineStr">
        <is>
          <t>Контакт</t>
        </is>
      </c>
      <c r="R1" s="65" t="inlineStr">
        <is>
          <t>Ссылка</t>
        </is>
      </c>
      <c r="S1" s="65" t="inlineStr">
        <is>
          <t>Дата / статус</t>
        </is>
      </c>
      <c r="T1" s="65" t="inlineStr">
        <is>
          <t>Особые отметки</t>
        </is>
      </c>
      <c r="U1" s="65" t="inlineStr">
        <is>
          <t>Описание из объявления</t>
        </is>
      </c>
      <c r="V1" s="66" t="inlineStr">
        <is>
          <t>VIN</t>
        </is>
      </c>
      <c r="W1" s="66" t="inlineStr">
        <is>
          <t>Модельный год (VIN)</t>
        </is>
      </c>
      <c r="X1" s="66" t="inlineStr">
        <is>
          <t>Завод сборки (VIN)</t>
        </is>
      </c>
      <c r="Y1" s="66" t="inlineStr">
        <is>
          <t>VIN-проверка</t>
        </is>
      </c>
    </row>
    <row r="2" ht="49.5" customHeight="1" s="64">
      <c r="A2" s="67" t="n">
        <v>1</v>
      </c>
      <c r="B2" s="68" t="inlineStr">
        <is>
          <t>Sravni.ru (лизинг)</t>
        </is>
      </c>
      <c r="C2" s="67" t="n">
        <v>2022</v>
      </c>
      <c r="D2" s="67" t="inlineStr">
        <is>
          <t>н/д</t>
        </is>
      </c>
      <c r="E2" s="68" t="inlineStr">
        <is>
          <t>LR AWD 450 л.с.</t>
        </is>
      </c>
      <c r="F2" s="67" t="n">
        <v>49355</v>
      </c>
      <c r="G2" s="68" t="inlineStr">
        <is>
          <t>чёрный</t>
        </is>
      </c>
      <c r="H2" s="68" t="inlineStr">
        <is>
          <t>н/д</t>
        </is>
      </c>
      <c r="I2" s="68" t="inlineStr">
        <is>
          <t>б/у среднее</t>
        </is>
      </c>
      <c r="J2" s="67" t="inlineStr">
        <is>
          <t>Неизв.</t>
        </is>
      </c>
      <c r="K2" s="67" t="inlineStr">
        <is>
          <t>Базовый</t>
        </is>
      </c>
      <c r="L2" s="68" t="inlineStr">
        <is>
          <t>Москва</t>
        </is>
      </c>
      <c r="M2" s="69" t="n">
        <v>5050000</v>
      </c>
      <c r="N2" s="70">
        <f>IF(OR(ISNUMBER(SEARCH("Физлицо",O2)),ISNUMBER(SEARCH("Частник",O2))),M2,M2/1.20)</f>
        <v/>
      </c>
      <c r="O2" s="68" t="inlineStr">
        <is>
          <t>Лизинговая компания</t>
        </is>
      </c>
      <c r="P2" s="68" t="inlineStr">
        <is>
          <t>н/д</t>
        </is>
      </c>
      <c r="Q2" s="68" t="inlineStr">
        <is>
          <t>менеджер Sravni</t>
        </is>
      </c>
      <c r="R2" s="71" t="inlineStr">
        <is>
          <t>https://www.sravni.ru/biznes-leasing/technics/67f6b33dc60716c49d161770/</t>
        </is>
      </c>
      <c r="S2" s="67" t="inlineStr">
        <is>
          <t>Активно</t>
        </is>
      </c>
      <c r="T2" s="68" t="inlineStr">
        <is>
          <t>ИЗЪЯТАЯ ТЕХНИКА</t>
        </is>
      </c>
      <c r="U2" s="68" t="inlineStr">
        <is>
          <t>Tesla Model Y AT, 2022 г.в., 49 355 км. Изъятая лизинговая техника. Чёрный, 450 л.с., AWD. Карточка лизингодателя на платформе Sravni.ru.</t>
        </is>
      </c>
      <c r="V2" s="72" t="inlineStr">
        <is>
          <t>—</t>
        </is>
      </c>
      <c r="W2" s="72" t="inlineStr">
        <is>
          <t>—</t>
        </is>
      </c>
      <c r="X2" s="72" t="inlineStr">
        <is>
          <t>—</t>
        </is>
      </c>
      <c r="Y2" s="73" t="inlineStr">
        <is>
          <t>— нет VIN для проверки</t>
        </is>
      </c>
    </row>
    <row r="3" ht="49.5" customHeight="1" s="64">
      <c r="A3" s="74" t="n">
        <v>2</v>
      </c>
      <c r="B3" s="72" t="inlineStr">
        <is>
          <t>Telegram @TeslaRUShop</t>
        </is>
      </c>
      <c r="C3" s="74" t="n">
        <v>2021</v>
      </c>
      <c r="D3" s="74" t="inlineStr">
        <is>
          <t>Декабрь</t>
        </is>
      </c>
      <c r="E3" s="72" t="inlineStr">
        <is>
          <t>Long Range AWD</t>
        </is>
      </c>
      <c r="F3" s="74" t="n">
        <v>64000</v>
      </c>
      <c r="G3" s="72" t="inlineStr">
        <is>
          <t>н/д</t>
        </is>
      </c>
      <c r="H3" s="72" t="inlineStr">
        <is>
          <t>н/д</t>
        </is>
      </c>
      <c r="I3" s="72" t="inlineStr">
        <is>
          <t>б/у отличное</t>
        </is>
      </c>
      <c r="J3" s="74" t="inlineStr">
        <is>
          <t>Нет</t>
        </is>
      </c>
      <c r="K3" s="74" t="inlineStr">
        <is>
          <t>Базовый</t>
        </is>
      </c>
      <c r="L3" s="72" t="inlineStr">
        <is>
          <t>Москва</t>
        </is>
      </c>
      <c r="M3" s="75" t="n">
        <v>3800000</v>
      </c>
      <c r="N3" s="70">
        <f>IF(OR(ISNUMBER(SEARCH("Физлицо",O3)),ISNUMBER(SEARCH("Частник",O3))),M3,M3/1.20)</f>
        <v/>
      </c>
      <c r="O3" s="72" t="inlineStr">
        <is>
          <t>Физлицо</t>
        </is>
      </c>
      <c r="P3" s="72" t="inlineStr">
        <is>
          <t>Германия</t>
        </is>
      </c>
      <c r="Q3" s="72" t="inlineStr">
        <is>
          <t>@Konstantin_Mankovskiy</t>
        </is>
      </c>
      <c r="R3" s="71" t="inlineStr">
        <is>
          <t>https://t.me/TeslaRUShop/4332</t>
        </is>
      </c>
      <c r="S3" s="74" t="inlineStr">
        <is>
          <t>Активно</t>
        </is>
      </c>
      <c r="T3" s="72" t="inlineStr">
        <is>
          <t>ТО дек.2025: рычаги, сайленты, тепловой насос; **Несоответствие VIN ↔ заявленному происхождению**: VIN LRWYGCEK8MC128885 начинается с LRWY — это Giga Shanghai (Китай). Продавец заявляет Германию.</t>
        </is>
      </c>
      <c r="U3" s="72" t="inlineStr">
        <is>
          <t>Tesla Model Y Long Range AWD, декабрь 2021. Из Германии, 64 000 км. ТО декабрь 2025: заменены рычаги, сайленты. Тепловой насос. Без ДТП. Состояние отличное.</t>
        </is>
      </c>
      <c r="V3" s="72" t="inlineStr">
        <is>
          <t>LRWYGCEK8MC128885</t>
        </is>
      </c>
      <c r="W3" s="72" t="inlineStr">
        <is>
          <t>2021</t>
        </is>
      </c>
      <c r="X3" s="72" t="inlineStr">
        <is>
          <t>Shanghai (Giga Shanghai), Китай</t>
        </is>
      </c>
      <c r="Y3" s="76" t="inlineStr">
        <is>
          <t>✗ Завод не совпадает: заявлено «Германия», VIN = Китай | ✓ Год совпадает (2021)</t>
        </is>
      </c>
    </row>
    <row r="4" ht="49.5" customHeight="1" s="64">
      <c r="A4" s="77" t="n">
        <v>3</v>
      </c>
      <c r="B4" s="78" t="inlineStr">
        <is>
          <t>Telegram @TeslaRUShop</t>
        </is>
      </c>
      <c r="C4" s="77" t="n">
        <v>2023</v>
      </c>
      <c r="D4" s="77" t="inlineStr">
        <is>
          <t>Июль</t>
        </is>
      </c>
      <c r="E4" s="78" t="inlineStr">
        <is>
          <t>Long Range Dual Motor</t>
        </is>
      </c>
      <c r="F4" s="77" t="n">
        <v>28100</v>
      </c>
      <c r="G4" s="78" t="inlineStr">
        <is>
          <t>серый металлик</t>
        </is>
      </c>
      <c r="H4" s="78" t="inlineStr">
        <is>
          <t>чёрный</t>
        </is>
      </c>
      <c r="I4" s="78" t="inlineStr">
        <is>
          <t>б/у отличное</t>
        </is>
      </c>
      <c r="J4" s="77" t="inlineStr">
        <is>
          <t>Нет</t>
        </is>
      </c>
      <c r="K4" s="77" t="inlineStr">
        <is>
          <t>Базовый</t>
        </is>
      </c>
      <c r="L4" s="78" t="inlineStr">
        <is>
          <t>Москва</t>
        </is>
      </c>
      <c r="M4" s="79" t="n">
        <v>4500000</v>
      </c>
      <c r="N4" s="70">
        <f>IF(OR(ISNUMBER(SEARCH("Физлицо",O4)),ISNUMBER(SEARCH("Частник",O4))),M4,M4/1.20)</f>
        <v/>
      </c>
      <c r="O4" s="78" t="inlineStr">
        <is>
          <t>Физлицо (один владелец)</t>
        </is>
      </c>
      <c r="P4" s="78" t="inlineStr">
        <is>
          <t>Китай (Шанхай)</t>
        </is>
      </c>
      <c r="Q4" s="78" t="inlineStr">
        <is>
          <t>@chereshnevalina</t>
        </is>
      </c>
      <c r="R4" s="71" t="inlineStr">
        <is>
          <t>https://t.me/TeslaRUShop/4311</t>
        </is>
      </c>
      <c r="S4" s="77" t="inlineStr">
        <is>
          <t>Активно</t>
        </is>
      </c>
      <c r="T4" s="78" t="inlineStr">
        <is>
          <t>EU-порты + GBT, подземная парковка</t>
        </is>
      </c>
      <c r="U4" s="78" t="inlineStr">
        <is>
          <t>Long Range Dual Motor из Шанхая, июль 2023, серый металлик. 28 100 км. EU-порты + GBT. Один владелец, подземная парковка, любые проверки приветствуются.</t>
        </is>
      </c>
      <c r="V4" s="72" t="inlineStr">
        <is>
          <t>LRWYGCEK9PC834851</t>
        </is>
      </c>
      <c r="W4" s="72" t="inlineStr">
        <is>
          <t>2023</t>
        </is>
      </c>
      <c r="X4" s="72" t="inlineStr">
        <is>
          <t>Shanghai (Giga Shanghai), Китай</t>
        </is>
      </c>
      <c r="Y4" s="80" t="inlineStr">
        <is>
          <t>✓ Завод совпадает (Китай) | ✓ Год совпадает (2023)</t>
        </is>
      </c>
    </row>
    <row r="5" ht="49.5" customHeight="1" s="64">
      <c r="A5" s="74" t="n">
        <v>4</v>
      </c>
      <c r="B5" s="72" t="inlineStr">
        <is>
          <t>Telegram @TeslaRUShop</t>
        </is>
      </c>
      <c r="C5" s="74" t="n">
        <v>2023</v>
      </c>
      <c r="D5" s="74" t="inlineStr">
        <is>
          <t>Июнь</t>
        </is>
      </c>
      <c r="E5" s="72" t="inlineStr">
        <is>
          <t>Long Range (Giga Berlin)</t>
        </is>
      </c>
      <c r="F5" s="74" t="n">
        <v>44000</v>
      </c>
      <c r="G5" s="72" t="inlineStr">
        <is>
          <t>н/д</t>
        </is>
      </c>
      <c r="H5" s="72" t="inlineStr">
        <is>
          <t>н/д</t>
        </is>
      </c>
      <c r="I5" s="72" t="inlineStr">
        <is>
          <t>б/у отличное</t>
        </is>
      </c>
      <c r="J5" s="74" t="inlineStr">
        <is>
          <t>Нет</t>
        </is>
      </c>
      <c r="K5" s="74" t="inlineStr">
        <is>
          <t>Базовый</t>
        </is>
      </c>
      <c r="L5" s="72" t="inlineStr">
        <is>
          <t>Краснодар</t>
        </is>
      </c>
      <c r="M5" s="75" t="n">
        <v>4700000</v>
      </c>
      <c r="N5" s="70">
        <f>IF(OR(ISNUMBER(SEARCH("Физлицо",O5)),ISNUMBER(SEARCH("Частник",O5))),M5,M5/1.20)</f>
        <v/>
      </c>
      <c r="O5" s="72" t="inlineStr">
        <is>
          <t>Физлицо</t>
        </is>
      </c>
      <c r="P5" s="72" t="inlineStr">
        <is>
          <t>Германия</t>
        </is>
      </c>
      <c r="Q5" s="72" t="inlineStr">
        <is>
          <t>@briisssk</t>
        </is>
      </c>
      <c r="R5" s="71" t="inlineStr">
        <is>
          <t>https://t.me/TeslaRUShop/4314</t>
        </is>
      </c>
      <c r="S5" s="74" t="inlineStr">
        <is>
          <t>Активно</t>
        </is>
      </c>
      <c r="T5" s="72" t="inlineStr">
        <is>
          <t>CCS2, двойные стёкла, 2 компл. резины</t>
        </is>
      </c>
      <c r="U5" s="72" t="inlineStr">
        <is>
          <t>Long Range Giga Berlin июнь 2023, пробег 44 000 км. CCS2, двойные стёкла, тепловой насос, приложение работает, 2 комплекта резины. Без ДТП.</t>
        </is>
      </c>
      <c r="V5" s="72" t="inlineStr">
        <is>
          <t>XP7YGCEK2PB120211</t>
        </is>
      </c>
      <c r="W5" s="72" t="inlineStr">
        <is>
          <t>2023</t>
        </is>
      </c>
      <c r="X5" s="72" t="inlineStr">
        <is>
          <t>Berlin (Giga Berlin), Германия</t>
        </is>
      </c>
      <c r="Y5" s="80" t="inlineStr">
        <is>
          <t>✓ Завод совпадает (Германия) | ✓ Год совпадает (2023)</t>
        </is>
      </c>
    </row>
    <row r="6" ht="49.5" customHeight="1" s="64">
      <c r="A6" s="77" t="n">
        <v>5</v>
      </c>
      <c r="B6" s="78" t="inlineStr">
        <is>
          <t>Telegram @TeslaRUShop</t>
        </is>
      </c>
      <c r="C6" s="77" t="n">
        <v>2021</v>
      </c>
      <c r="D6" s="77" t="inlineStr">
        <is>
          <t>Ноябрь (MY22)</t>
        </is>
      </c>
      <c r="E6" s="78" t="inlineStr">
        <is>
          <t>Long Range (US Copart)</t>
        </is>
      </c>
      <c r="F6" s="77" t="n">
        <v>31000</v>
      </c>
      <c r="G6" s="78" t="inlineStr">
        <is>
          <t>н/д</t>
        </is>
      </c>
      <c r="H6" s="78" t="inlineStr">
        <is>
          <t>н/д</t>
        </is>
      </c>
      <c r="I6" s="78" t="inlineStr">
        <is>
          <t>б/у, лёгкий биток</t>
        </is>
      </c>
      <c r="J6" s="77" t="inlineStr">
        <is>
          <t>Да (мин.)</t>
        </is>
      </c>
      <c r="K6" s="77" t="inlineStr">
        <is>
          <t>Базовый</t>
        </is>
      </c>
      <c r="L6" s="78" t="inlineStr">
        <is>
          <t>Санкт-Петербург</t>
        </is>
      </c>
      <c r="M6" s="79" t="n">
        <v>3900000</v>
      </c>
      <c r="N6" s="70">
        <f>IF(OR(ISNUMBER(SEARCH("Физлицо",O6)),ISNUMBER(SEARCH("Частник",O6))),M6,M6/1.20)</f>
        <v/>
      </c>
      <c r="O6" s="78" t="inlineStr">
        <is>
          <t>Физлицо</t>
        </is>
      </c>
      <c r="P6" s="78" t="inlineStr">
        <is>
          <t>США</t>
        </is>
      </c>
      <c r="Q6" s="78" t="inlineStr">
        <is>
          <t>@maxniko90</t>
        </is>
      </c>
      <c r="R6" s="71" t="inlineStr">
        <is>
          <t>https://t.me/TeslaRUShop/4320</t>
        </is>
      </c>
      <c r="S6" s="77" t="inlineStr">
        <is>
          <t>Активно</t>
        </is>
      </c>
      <c r="T6" s="78" t="inlineStr">
        <is>
          <t>Бампер/крыло крашены, остальное родное, учёт РФ</t>
        </is>
      </c>
      <c r="U6" s="78" t="inlineStr">
        <is>
          <t>Long Range AWD, ноябрь 2021 (MY22), из США через Copart. Пробег 31 000 км. Бампер и крыло крашены после лёгкого ДТП, остальное родное. Учёт РФ.</t>
        </is>
      </c>
      <c r="V6" s="72" t="inlineStr">
        <is>
          <t>—</t>
        </is>
      </c>
      <c r="W6" s="72" t="inlineStr">
        <is>
          <t>—</t>
        </is>
      </c>
      <c r="X6" s="72" t="inlineStr">
        <is>
          <t>—</t>
        </is>
      </c>
      <c r="Y6" s="73" t="inlineStr">
        <is>
          <t>— нет VIN для проверки</t>
        </is>
      </c>
    </row>
    <row r="7" ht="49.5" customHeight="1" s="64">
      <c r="A7" s="74" t="n">
        <v>6</v>
      </c>
      <c r="B7" s="72" t="inlineStr">
        <is>
          <t>Telegram @TeslaRUShop</t>
        </is>
      </c>
      <c r="C7" s="74" t="n">
        <v>2022</v>
      </c>
      <c r="D7" s="74" t="inlineStr">
        <is>
          <t>н/д</t>
        </is>
      </c>
      <c r="E7" s="72" t="inlineStr">
        <is>
          <t>Performance EU</t>
        </is>
      </c>
      <c r="F7" s="74" t="n">
        <v>22943</v>
      </c>
      <c r="G7" s="72" t="inlineStr">
        <is>
          <t>н/д</t>
        </is>
      </c>
      <c r="H7" s="72" t="inlineStr">
        <is>
          <t>н/д</t>
        </is>
      </c>
      <c r="I7" s="72" t="inlineStr">
        <is>
          <t>б/у отличное</t>
        </is>
      </c>
      <c r="J7" s="74" t="inlineStr">
        <is>
          <t>Нет</t>
        </is>
      </c>
      <c r="K7" s="74" t="inlineStr">
        <is>
          <t>Базовый</t>
        </is>
      </c>
      <c r="L7" s="72" t="inlineStr">
        <is>
          <t>Санкт-Петербург</t>
        </is>
      </c>
      <c r="M7" s="75" t="n">
        <v>5300000</v>
      </c>
      <c r="N7" s="70">
        <f>IF(OR(ISNUMBER(SEARCH("Физлицо",O7)),ISNUMBER(SEARCH("Частник",O7))),M7,M7/1.20)</f>
        <v/>
      </c>
      <c r="O7" s="72" t="inlineStr">
        <is>
          <t>Физлицо</t>
        </is>
      </c>
      <c r="P7" s="72" t="inlineStr">
        <is>
          <t>EU</t>
        </is>
      </c>
      <c r="Q7" s="72" t="inlineStr">
        <is>
          <t>@andrey3128</t>
        </is>
      </c>
      <c r="R7" s="71" t="inlineStr">
        <is>
          <t>https://t.me/TeslaRUShop/3978</t>
        </is>
      </c>
      <c r="S7" s="74" t="inlineStr">
        <is>
          <t>Активно</t>
        </is>
      </c>
      <c r="T7" s="72" t="inlineStr">
        <is>
          <t>—</t>
        </is>
      </c>
      <c r="U7" s="72" t="inlineStr">
        <is>
          <t>Performance EU, 2022 г.в., пробег 22 943 км. Состояние отличное. Без ДТП. Берлинская сборка.</t>
        </is>
      </c>
      <c r="V7" s="72" t="inlineStr">
        <is>
          <t>XP7YGCEL8PB060041</t>
        </is>
      </c>
      <c r="W7" s="72" t="inlineStr">
        <is>
          <t>2023</t>
        </is>
      </c>
      <c r="X7" s="72" t="inlineStr">
        <is>
          <t>Berlin (Giga Berlin), Германия</t>
        </is>
      </c>
      <c r="Y7" s="80" t="inlineStr">
        <is>
          <t>⚠ Уточнение: заявлено «EU», VIN = Германия | ⚠ Год: заявлен 2022, MY2023 (норма ±1)</t>
        </is>
      </c>
    </row>
    <row r="8" ht="49.5" customHeight="1" s="64">
      <c r="A8" s="77" t="n">
        <v>7</v>
      </c>
      <c r="B8" s="78" t="inlineStr">
        <is>
          <t>Telegram @TeslaRUShop</t>
        </is>
      </c>
      <c r="C8" s="77" t="n">
        <v>2022</v>
      </c>
      <c r="D8" s="77" t="inlineStr">
        <is>
          <t>Декабрь</t>
        </is>
      </c>
      <c r="E8" s="78" t="inlineStr">
        <is>
          <t>Performance (Berlin)</t>
        </is>
      </c>
      <c r="F8" s="77" t="n">
        <v>24800</v>
      </c>
      <c r="G8" s="78" t="inlineStr">
        <is>
          <t>белый перламутр</t>
        </is>
      </c>
      <c r="H8" s="78" t="inlineStr">
        <is>
          <t>чёрный</t>
        </is>
      </c>
      <c r="I8" s="78" t="inlineStr">
        <is>
          <t>б/у отличное</t>
        </is>
      </c>
      <c r="J8" s="77" t="inlineStr">
        <is>
          <t>Нет</t>
        </is>
      </c>
      <c r="K8" s="77" t="inlineStr">
        <is>
          <t>Базовый</t>
        </is>
      </c>
      <c r="L8" s="78" t="inlineStr">
        <is>
          <t>Москва</t>
        </is>
      </c>
      <c r="M8" s="79" t="n">
        <v>6000000</v>
      </c>
      <c r="N8" s="70">
        <f>IF(OR(ISNUMBER(SEARCH("Физлицо",O8)),ISNUMBER(SEARCH("Частник",O8))),M8,M8/1.20)</f>
        <v/>
      </c>
      <c r="O8" s="78" t="inlineStr">
        <is>
          <t>Физлицо</t>
        </is>
      </c>
      <c r="P8" s="78" t="inlineStr">
        <is>
          <t>Берлин</t>
        </is>
      </c>
      <c r="Q8" s="78" t="inlineStr">
        <is>
          <t>—</t>
        </is>
      </c>
      <c r="R8" s="71" t="inlineStr">
        <is>
          <t>https://t.me/TeslaRUShop/4106</t>
        </is>
      </c>
      <c r="S8" s="77" t="inlineStr">
        <is>
          <t>Активно</t>
        </is>
      </c>
      <c r="T8" s="78" t="inlineStr">
        <is>
          <t>Матричные фары, 393 кВт/534 л.с.</t>
        </is>
      </c>
      <c r="U8" s="78" t="inlineStr">
        <is>
          <t>Performance Berlin, декабрь 2022, белый перламутр на чёрном салоне. Пробег 24 800 км. Матричные фары, 393 кВт / 534 л.с., тепловой насос.</t>
        </is>
      </c>
      <c r="V8" s="72" t="inlineStr">
        <is>
          <t>—</t>
        </is>
      </c>
      <c r="W8" s="72" t="inlineStr">
        <is>
          <t>—</t>
        </is>
      </c>
      <c r="X8" s="72" t="inlineStr">
        <is>
          <t>—</t>
        </is>
      </c>
      <c r="Y8" s="73" t="inlineStr">
        <is>
          <t>— нет VIN для проверки</t>
        </is>
      </c>
    </row>
    <row r="9" ht="49.5" customHeight="1" s="64">
      <c r="A9" s="74" t="n">
        <v>8</v>
      </c>
      <c r="B9" s="72" t="inlineStr">
        <is>
          <t>Telegram @TeslaRUShop</t>
        </is>
      </c>
      <c r="C9" s="74" t="n">
        <v>2023</v>
      </c>
      <c r="D9" s="74" t="inlineStr">
        <is>
          <t>н/д</t>
        </is>
      </c>
      <c r="E9" s="72" t="inlineStr">
        <is>
          <t>Performance</t>
        </is>
      </c>
      <c r="F9" s="74" t="n">
        <v>39000</v>
      </c>
      <c r="G9" s="72" t="inlineStr">
        <is>
          <t>н/д</t>
        </is>
      </c>
      <c r="H9" s="72" t="inlineStr">
        <is>
          <t>н/д</t>
        </is>
      </c>
      <c r="I9" s="72" t="inlineStr">
        <is>
          <t>б/у отличное</t>
        </is>
      </c>
      <c r="J9" s="74" t="inlineStr">
        <is>
          <t>Нет</t>
        </is>
      </c>
      <c r="K9" s="74" t="inlineStr">
        <is>
          <t>Базовый</t>
        </is>
      </c>
      <c r="L9" s="72" t="inlineStr">
        <is>
          <t>Москва</t>
        </is>
      </c>
      <c r="M9" s="75" t="n">
        <v>6300000</v>
      </c>
      <c r="N9" s="70">
        <f>IF(OR(ISNUMBER(SEARCH("Физлицо",O9)),ISNUMBER(SEARCH("Частник",O9))),M9,M9/1.20)</f>
        <v/>
      </c>
      <c r="O9" s="72" t="inlineStr">
        <is>
          <t>Физлицо</t>
        </is>
      </c>
      <c r="P9" s="72" t="inlineStr">
        <is>
          <t>Германия</t>
        </is>
      </c>
      <c r="Q9" s="72" t="inlineStr">
        <is>
          <t>—</t>
        </is>
      </c>
      <c r="R9" s="71" t="inlineStr">
        <is>
          <t>https://t.me/TeslaRUShop/4085</t>
        </is>
      </c>
      <c r="S9" s="74" t="inlineStr">
        <is>
          <t>Активно</t>
        </is>
      </c>
      <c r="T9" s="72" t="inlineStr">
        <is>
          <t>—</t>
        </is>
      </c>
      <c r="U9" s="72" t="inlineStr">
        <is>
          <t>Performance из Германии, 2023 г.в., 39 000 км. Состояние отличное.</t>
        </is>
      </c>
      <c r="V9" s="72" t="inlineStr">
        <is>
          <t>—</t>
        </is>
      </c>
      <c r="W9" s="72" t="inlineStr">
        <is>
          <t>—</t>
        </is>
      </c>
      <c r="X9" s="72" t="inlineStr">
        <is>
          <t>—</t>
        </is>
      </c>
      <c r="Y9" s="73" t="inlineStr">
        <is>
          <t>— нет VIN для проверки</t>
        </is>
      </c>
    </row>
    <row r="10" ht="49.5" customHeight="1" s="64">
      <c r="A10" s="77" t="n">
        <v>9</v>
      </c>
      <c r="B10" s="78" t="inlineStr">
        <is>
          <t>Telegram @TeslaRUShop</t>
        </is>
      </c>
      <c r="C10" s="77" t="n">
        <v>2022</v>
      </c>
      <c r="D10" s="77" t="inlineStr">
        <is>
          <t>Декабрь</t>
        </is>
      </c>
      <c r="E10" s="78" t="inlineStr">
        <is>
          <t>Performance (Giga Berlin)</t>
        </is>
      </c>
      <c r="F10" s="77" t="n">
        <v>40500</v>
      </c>
      <c r="G10" s="78" t="inlineStr">
        <is>
          <t>н/д</t>
        </is>
      </c>
      <c r="H10" s="78" t="inlineStr">
        <is>
          <t>н/д</t>
        </is>
      </c>
      <c r="I10" s="78" t="inlineStr">
        <is>
          <t>б/у отличное</t>
        </is>
      </c>
      <c r="J10" s="77" t="inlineStr">
        <is>
          <t>Нет</t>
        </is>
      </c>
      <c r="K10" s="77" t="inlineStr">
        <is>
          <t>Базовый</t>
        </is>
      </c>
      <c r="L10" s="78" t="inlineStr">
        <is>
          <t>Москва</t>
        </is>
      </c>
      <c r="M10" s="79" t="n">
        <v>6390000</v>
      </c>
      <c r="N10" s="70">
        <f>IF(OR(ISNUMBER(SEARCH("Физлицо",O10)),ISNUMBER(SEARCH("Частник",O10))),M10,M10/1.20)</f>
        <v/>
      </c>
      <c r="O10" s="78" t="inlineStr">
        <is>
          <t>Физлицо (в ПТС)</t>
        </is>
      </c>
      <c r="P10" s="78" t="inlineStr">
        <is>
          <t>Берлин</t>
        </is>
      </c>
      <c r="Q10" s="78" t="inlineStr">
        <is>
          <t>@Pavel_Ukolov</t>
        </is>
      </c>
      <c r="R10" s="71" t="inlineStr">
        <is>
          <t>https://t.me/s/teslarushop</t>
        </is>
      </c>
      <c r="S10" s="77" t="inlineStr">
        <is>
          <t>Активно</t>
        </is>
      </c>
      <c r="T10" s="78" t="inlineStr">
        <is>
          <t>Полностью в плёнке, R21 Uberturbine + R19 зима, BLE-сенсоры</t>
        </is>
      </c>
      <c r="U10" s="78" t="inlineStr">
        <is>
          <t>Performance Giga Berlin, декабрь 2022. Пробег 40 500 км. Полностью в плёнке, R21 Uberturbine + R19 зимняя резина, BLE-сенсоры. Один владелец в ПТС.</t>
        </is>
      </c>
      <c r="V10" s="72" t="inlineStr">
        <is>
          <t>—</t>
        </is>
      </c>
      <c r="W10" s="72" t="inlineStr">
        <is>
          <t>—</t>
        </is>
      </c>
      <c r="X10" s="72" t="inlineStr">
        <is>
          <t>—</t>
        </is>
      </c>
      <c r="Y10" s="73" t="inlineStr">
        <is>
          <t>— нет VIN для проверки</t>
        </is>
      </c>
    </row>
    <row r="11" ht="49.5" customHeight="1" s="64">
      <c r="A11" s="74" t="n">
        <v>10</v>
      </c>
      <c r="B11" s="72" t="inlineStr">
        <is>
          <t>Telegram @TeslaRUShop</t>
        </is>
      </c>
      <c r="C11" s="74" t="n">
        <v>2023</v>
      </c>
      <c r="D11" s="74" t="inlineStr">
        <is>
          <t>н/д</t>
        </is>
      </c>
      <c r="E11" s="72" t="inlineStr">
        <is>
          <t>Performance</t>
        </is>
      </c>
      <c r="F11" s="74" t="n">
        <v>1000</v>
      </c>
      <c r="G11" s="72" t="inlineStr">
        <is>
          <t>н/д</t>
        </is>
      </c>
      <c r="H11" s="72" t="inlineStr">
        <is>
          <t>н/д</t>
        </is>
      </c>
      <c r="I11" s="72" t="inlineStr">
        <is>
          <t>Практически новый</t>
        </is>
      </c>
      <c r="J11" s="74" t="inlineStr">
        <is>
          <t>Нет</t>
        </is>
      </c>
      <c r="K11" s="74" t="inlineStr">
        <is>
          <t>Базовый</t>
        </is>
      </c>
      <c r="L11" s="72" t="inlineStr">
        <is>
          <t>Москва</t>
        </is>
      </c>
      <c r="M11" s="75" t="n">
        <v>7200000</v>
      </c>
      <c r="N11" s="70">
        <f>IF(OR(ISNUMBER(SEARCH("Физлицо",O11)),ISNUMBER(SEARCH("Частник",O11))),M11,M11/1.20)</f>
        <v/>
      </c>
      <c r="O11" s="72" t="inlineStr">
        <is>
          <t>Физлицо/перекуп</t>
        </is>
      </c>
      <c r="P11" s="72" t="inlineStr">
        <is>
          <t>Китай</t>
        </is>
      </c>
      <c r="Q11" s="72" t="inlineStr">
        <is>
          <t>—</t>
        </is>
      </c>
      <c r="R11" s="71" t="inlineStr">
        <is>
          <t>https://t.me/TeslaRUShop/4026</t>
        </is>
      </c>
      <c r="S11" s="74" t="inlineStr">
        <is>
          <t>Активно</t>
        </is>
      </c>
      <c r="T11" s="72" t="inlineStr">
        <is>
          <t>Фактически новый</t>
        </is>
      </c>
      <c r="U11" s="72" t="inlineStr">
        <is>
          <t>Performance 2023 из Китая, пробег 1 000 км. Фактически новый автомобиль.</t>
        </is>
      </c>
      <c r="V11" s="72" t="inlineStr">
        <is>
          <t>—</t>
        </is>
      </c>
      <c r="W11" s="72" t="inlineStr">
        <is>
          <t>—</t>
        </is>
      </c>
      <c r="X11" s="72" t="inlineStr">
        <is>
          <t>—</t>
        </is>
      </c>
      <c r="Y11" s="73" t="inlineStr">
        <is>
          <t>— нет VIN для проверки</t>
        </is>
      </c>
    </row>
    <row r="12" ht="49.5" customHeight="1" s="64">
      <c r="A12" s="81" t="n">
        <v>11</v>
      </c>
      <c r="B12" s="82" t="inlineStr">
        <is>
          <t>Drom (зеркало Avito)</t>
        </is>
      </c>
      <c r="C12" s="81" t="n">
        <v>2022</v>
      </c>
      <c r="D12" s="81" t="inlineStr">
        <is>
          <t>н/д</t>
        </is>
      </c>
      <c r="E12" s="82" t="inlineStr">
        <is>
          <t>Long Range 75D</t>
        </is>
      </c>
      <c r="F12" s="81" t="n">
        <v>58000</v>
      </c>
      <c r="G12" s="82" t="inlineStr">
        <is>
          <t>н/д</t>
        </is>
      </c>
      <c r="H12" s="82" t="inlineStr">
        <is>
          <t>н/д</t>
        </is>
      </c>
      <c r="I12" s="82" t="inlineStr">
        <is>
          <t>б/у среднее</t>
        </is>
      </c>
      <c r="J12" s="81" t="inlineStr">
        <is>
          <t>Неизв.</t>
        </is>
      </c>
      <c r="K12" s="81" t="inlineStr">
        <is>
          <t>Базовый</t>
        </is>
      </c>
      <c r="L12" s="82" t="inlineStr">
        <is>
          <t>Москва</t>
        </is>
      </c>
      <c r="M12" s="83" t="n">
        <v>2850000</v>
      </c>
      <c r="N12" s="70">
        <f>IF(OR(ISNUMBER(SEARCH("Физлицо",O12)),ISNUMBER(SEARCH("Частник",O12))),M12,M12/1.20)</f>
        <v/>
      </c>
      <c r="O12" s="82" t="inlineStr">
        <is>
          <t>Частник</t>
        </is>
      </c>
      <c r="P12" s="82" t="inlineStr">
        <is>
          <t>н/д</t>
        </is>
      </c>
      <c r="Q12" s="82" t="inlineStr">
        <is>
          <t>Drom</t>
        </is>
      </c>
      <c r="R12" s="71" t="inlineStr">
        <is>
          <t>https://auto.drom.ru/tesla/model_y/</t>
        </is>
      </c>
      <c r="S12" s="81" t="inlineStr">
        <is>
          <t>Активно</t>
        </is>
      </c>
      <c r="T12" s="82" t="inlineStr">
        <is>
          <t>ВНИМАНИЕ: цена ниже рынка — требует проверки</t>
        </is>
      </c>
      <c r="U12" s="82" t="inlineStr">
        <is>
          <t>Long Range 75D, 2022 г.в., 58 000 км. Цена сильно ниже рынка — требует тщательной проверки документов и состояния.</t>
        </is>
      </c>
      <c r="V12" s="72" t="inlineStr">
        <is>
          <t>—</t>
        </is>
      </c>
      <c r="W12" s="72" t="inlineStr">
        <is>
          <t>—</t>
        </is>
      </c>
      <c r="X12" s="72" t="inlineStr">
        <is>
          <t>—</t>
        </is>
      </c>
      <c r="Y12" s="73" t="inlineStr">
        <is>
          <t>— нет VIN для проверки</t>
        </is>
      </c>
    </row>
    <row r="13" ht="49.5" customHeight="1" s="64">
      <c r="A13" s="74" t="n">
        <v>12</v>
      </c>
      <c r="B13" s="72" t="inlineStr">
        <is>
          <t>Drom (зеркало Avito)</t>
        </is>
      </c>
      <c r="C13" s="74" t="n">
        <v>2022</v>
      </c>
      <c r="D13" s="74" t="inlineStr">
        <is>
          <t>н/д</t>
        </is>
      </c>
      <c r="E13" s="72" t="inlineStr">
        <is>
          <t>Long Range 75 kWh</t>
        </is>
      </c>
      <c r="F13" s="74" t="n">
        <v>19222</v>
      </c>
      <c r="G13" s="72" t="inlineStr">
        <is>
          <t>н/д</t>
        </is>
      </c>
      <c r="H13" s="72" t="inlineStr">
        <is>
          <t>н/д</t>
        </is>
      </c>
      <c r="I13" s="72" t="inlineStr">
        <is>
          <t>б/у отличное</t>
        </is>
      </c>
      <c r="J13" s="74" t="inlineStr">
        <is>
          <t>Неизв.</t>
        </is>
      </c>
      <c r="K13" s="74" t="inlineStr">
        <is>
          <t>Базовый</t>
        </is>
      </c>
      <c r="L13" s="72" t="inlineStr">
        <is>
          <t>Тюмень</t>
        </is>
      </c>
      <c r="M13" s="75" t="n">
        <v>4999000</v>
      </c>
      <c r="N13" s="70">
        <f>IF(OR(ISNUMBER(SEARCH("Физлицо",O13)),ISNUMBER(SEARCH("Частник",O13))),M13,M13/1.20)</f>
        <v/>
      </c>
      <c r="O13" s="72" t="inlineStr">
        <is>
          <t>Автосалон FRESH</t>
        </is>
      </c>
      <c r="P13" s="72" t="inlineStr">
        <is>
          <t>н/д</t>
        </is>
      </c>
      <c r="Q13" s="72" t="inlineStr">
        <is>
          <t>Drom</t>
        </is>
      </c>
      <c r="R13" s="71" t="inlineStr">
        <is>
          <t>https://auto.drom.ru/tesla/model_y/</t>
        </is>
      </c>
      <c r="S13" s="74" t="inlineStr">
        <is>
          <t>Активно</t>
        </is>
      </c>
      <c r="T13" s="72" t="inlineStr">
        <is>
          <t>Малый пробег, дилер</t>
        </is>
      </c>
      <c r="U13" s="72" t="inlineStr">
        <is>
          <t>Long Range 75 kWh, 2022 г.в., 19 222 км. Автосалон FRESH, Тюмень. Малый пробег, продажа от дилера.</t>
        </is>
      </c>
      <c r="V13" s="72" t="inlineStr">
        <is>
          <t>—</t>
        </is>
      </c>
      <c r="W13" s="72" t="inlineStr">
        <is>
          <t>—</t>
        </is>
      </c>
      <c r="X13" s="72" t="inlineStr">
        <is>
          <t>—</t>
        </is>
      </c>
      <c r="Y13" s="73" t="inlineStr">
        <is>
          <t>— нет VIN для проверки</t>
        </is>
      </c>
    </row>
    <row r="14" ht="49.5" customHeight="1" s="64">
      <c r="A14" s="77" t="n">
        <v>13</v>
      </c>
      <c r="B14" s="78" t="inlineStr">
        <is>
          <t>Drom (зеркало Avito)</t>
        </is>
      </c>
      <c r="C14" s="77" t="n">
        <v>2022</v>
      </c>
      <c r="D14" s="77" t="inlineStr">
        <is>
          <t>н/д</t>
        </is>
      </c>
      <c r="E14" s="78" t="inlineStr">
        <is>
          <t>Long Range 75D 451 л.с.</t>
        </is>
      </c>
      <c r="F14" s="77" t="n">
        <v>26000</v>
      </c>
      <c r="G14" s="78" t="inlineStr">
        <is>
          <t>н/д</t>
        </is>
      </c>
      <c r="H14" s="78" t="inlineStr">
        <is>
          <t>н/д</t>
        </is>
      </c>
      <c r="I14" s="78" t="inlineStr">
        <is>
          <t>б/у отличное</t>
        </is>
      </c>
      <c r="J14" s="77" t="inlineStr">
        <is>
          <t>Нет</t>
        </is>
      </c>
      <c r="K14" s="77" t="inlineStr">
        <is>
          <t>Базовый</t>
        </is>
      </c>
      <c r="L14" s="78" t="inlineStr">
        <is>
          <t>Иркутск</t>
        </is>
      </c>
      <c r="M14" s="79" t="n">
        <v>4849000</v>
      </c>
      <c r="N14" s="70">
        <f>IF(OR(ISNUMBER(SEARCH("Физлицо",O14)),ISNUMBER(SEARCH("Частник",O14))),M14,M14/1.20)</f>
        <v/>
      </c>
      <c r="O14" s="78" t="inlineStr">
        <is>
          <t>Проверенный собственник</t>
        </is>
      </c>
      <c r="P14" s="78" t="inlineStr">
        <is>
          <t>н/д</t>
        </is>
      </c>
      <c r="Q14" s="78" t="inlineStr">
        <is>
          <t>Drom</t>
        </is>
      </c>
      <c r="R14" s="71" t="inlineStr">
        <is>
          <t>https://auto.drom.ru/tesla/model_y/</t>
        </is>
      </c>
      <c r="S14" s="77" t="inlineStr">
        <is>
          <t>Активно</t>
        </is>
      </c>
      <c r="T14" s="78" t="inlineStr">
        <is>
          <t>Малый пробег</t>
        </is>
      </c>
      <c r="U14" s="78" t="inlineStr">
        <is>
          <t>Long Range 75D 451 л.с., 2022 г.в., 26 000 км. Иркутск, проверенный собственник. Малый пробег.</t>
        </is>
      </c>
      <c r="V14" s="72" t="inlineStr">
        <is>
          <t>—</t>
        </is>
      </c>
      <c r="W14" s="72" t="inlineStr">
        <is>
          <t>—</t>
        </is>
      </c>
      <c r="X14" s="72" t="inlineStr">
        <is>
          <t>—</t>
        </is>
      </c>
      <c r="Y14" s="73" t="inlineStr">
        <is>
          <t>— нет VIN для проверки</t>
        </is>
      </c>
    </row>
    <row r="15" ht="49.5" customHeight="1" s="64">
      <c r="A15" s="74" t="n">
        <v>14</v>
      </c>
      <c r="B15" s="72" t="inlineStr">
        <is>
          <t>Drom (зеркало Avito)</t>
        </is>
      </c>
      <c r="C15" s="74" t="n">
        <v>2022</v>
      </c>
      <c r="D15" s="74" t="inlineStr">
        <is>
          <t>н/д</t>
        </is>
      </c>
      <c r="E15" s="72" t="inlineStr">
        <is>
          <t>Long Range 75D</t>
        </is>
      </c>
      <c r="F15" s="74" t="n">
        <v>16000</v>
      </c>
      <c r="G15" s="72" t="inlineStr">
        <is>
          <t>н/д</t>
        </is>
      </c>
      <c r="H15" s="72" t="inlineStr">
        <is>
          <t>н/д</t>
        </is>
      </c>
      <c r="I15" s="72" t="inlineStr">
        <is>
          <t>б/у отличное</t>
        </is>
      </c>
      <c r="J15" s="74" t="inlineStr">
        <is>
          <t>Нет</t>
        </is>
      </c>
      <c r="K15" s="74" t="inlineStr">
        <is>
          <t>Базовый</t>
        </is>
      </c>
      <c r="L15" s="72" t="inlineStr">
        <is>
          <t>Новосибирск</t>
        </is>
      </c>
      <c r="M15" s="75" t="n">
        <v>4999000</v>
      </c>
      <c r="N15" s="70">
        <f>IF(OR(ISNUMBER(SEARCH("Физлицо",O15)),ISNUMBER(SEARCH("Частник",O15))),M15,M15/1.20)</f>
        <v/>
      </c>
      <c r="O15" s="72" t="inlineStr">
        <is>
          <t>Юрлицо: ООО «2 Авто»</t>
        </is>
      </c>
      <c r="P15" s="72" t="inlineStr">
        <is>
          <t>н/д</t>
        </is>
      </c>
      <c r="Q15" s="72" t="inlineStr">
        <is>
          <t>Drom</t>
        </is>
      </c>
      <c r="R15" s="71" t="inlineStr">
        <is>
          <t>https://auto.drom.ru/tesla/model_y/</t>
        </is>
      </c>
      <c r="S15" s="74" t="inlineStr">
        <is>
          <t>Активно</t>
        </is>
      </c>
      <c r="T15" s="72" t="inlineStr">
        <is>
          <t>Дилер</t>
        </is>
      </c>
      <c r="U15" s="72" t="inlineStr">
        <is>
          <t>Long Range 75D, 2022 г.в., 16 000 км. ООО «2 Авто», Новосибирск. Дилер.</t>
        </is>
      </c>
      <c r="V15" s="72" t="inlineStr">
        <is>
          <t>—</t>
        </is>
      </c>
      <c r="W15" s="72" t="inlineStr">
        <is>
          <t>—</t>
        </is>
      </c>
      <c r="X15" s="72" t="inlineStr">
        <is>
          <t>—</t>
        </is>
      </c>
      <c r="Y15" s="73" t="inlineStr">
        <is>
          <t>— нет VIN для проверки</t>
        </is>
      </c>
    </row>
    <row r="16" ht="49.5" customHeight="1" s="64">
      <c r="A16" s="77" t="n">
        <v>15</v>
      </c>
      <c r="B16" s="78" t="inlineStr">
        <is>
          <t>Drom (зеркало Avito)</t>
        </is>
      </c>
      <c r="C16" s="77" t="n">
        <v>2023</v>
      </c>
      <c r="D16" s="77" t="inlineStr">
        <is>
          <t>н/д</t>
        </is>
      </c>
      <c r="E16" s="78" t="inlineStr">
        <is>
          <t>Performance P75D</t>
        </is>
      </c>
      <c r="F16" s="77" t="n">
        <v>29000</v>
      </c>
      <c r="G16" s="78" t="inlineStr">
        <is>
          <t>н/д</t>
        </is>
      </c>
      <c r="H16" s="78" t="inlineStr">
        <is>
          <t>н/д</t>
        </is>
      </c>
      <c r="I16" s="78" t="inlineStr">
        <is>
          <t>б/у отличное</t>
        </is>
      </c>
      <c r="J16" s="77" t="inlineStr">
        <is>
          <t>Нет</t>
        </is>
      </c>
      <c r="K16" s="77" t="inlineStr">
        <is>
          <t>Базовый</t>
        </is>
      </c>
      <c r="L16" s="78" t="inlineStr">
        <is>
          <t>Иркутск</t>
        </is>
      </c>
      <c r="M16" s="79" t="n">
        <v>5849000</v>
      </c>
      <c r="N16" s="70">
        <f>IF(OR(ISNUMBER(SEARCH("Физлицо",O16)),ISNUMBER(SEARCH("Частник",O16))),M16,M16/1.20)</f>
        <v/>
      </c>
      <c r="O16" s="78" t="inlineStr">
        <is>
          <t>Проверенный собственник</t>
        </is>
      </c>
      <c r="P16" s="78" t="inlineStr">
        <is>
          <t>н/д</t>
        </is>
      </c>
      <c r="Q16" s="78" t="inlineStr">
        <is>
          <t>Drom</t>
        </is>
      </c>
      <c r="R16" s="71" t="inlineStr">
        <is>
          <t>https://auto.drom.ru/tesla/model_y/</t>
        </is>
      </c>
      <c r="S16" s="77" t="inlineStr">
        <is>
          <t>Активно</t>
        </is>
      </c>
      <c r="T16" s="78" t="inlineStr">
        <is>
          <t>—</t>
        </is>
      </c>
      <c r="U16" s="78" t="inlineStr">
        <is>
          <t>Performance P75D, 2023 г.в., 29 000 км. Иркутск, проверенный собственник.</t>
        </is>
      </c>
      <c r="V16" s="72" t="inlineStr">
        <is>
          <t>—</t>
        </is>
      </c>
      <c r="W16" s="72" t="inlineStr">
        <is>
          <t>—</t>
        </is>
      </c>
      <c r="X16" s="72" t="inlineStr">
        <is>
          <t>—</t>
        </is>
      </c>
      <c r="Y16" s="73" t="inlineStr">
        <is>
          <t>— нет VIN для проверки</t>
        </is>
      </c>
    </row>
    <row r="17" ht="49.5" customHeight="1" s="64">
      <c r="A17" s="74" t="n">
        <v>16</v>
      </c>
      <c r="B17" s="72" t="inlineStr">
        <is>
          <t>Drom (зеркало Avito)</t>
        </is>
      </c>
      <c r="C17" s="74" t="n">
        <v>2022</v>
      </c>
      <c r="D17" s="74" t="inlineStr">
        <is>
          <t>н/д</t>
        </is>
      </c>
      <c r="E17" s="72" t="inlineStr">
        <is>
          <t>Performance P78D</t>
        </is>
      </c>
      <c r="F17" s="74" t="n">
        <v>50000</v>
      </c>
      <c r="G17" s="72" t="inlineStr">
        <is>
          <t>н/д</t>
        </is>
      </c>
      <c r="H17" s="72" t="inlineStr">
        <is>
          <t>н/д</t>
        </is>
      </c>
      <c r="I17" s="72" t="inlineStr">
        <is>
          <t>б/у отличное</t>
        </is>
      </c>
      <c r="J17" s="74" t="inlineStr">
        <is>
          <t>Нет</t>
        </is>
      </c>
      <c r="K17" s="74" t="inlineStr">
        <is>
          <t>Базовый</t>
        </is>
      </c>
      <c r="L17" s="72" t="inlineStr">
        <is>
          <t>Москва</t>
        </is>
      </c>
      <c r="M17" s="75" t="n">
        <v>4700000</v>
      </c>
      <c r="N17" s="70">
        <f>IF(OR(ISNUMBER(SEARCH("Физлицо",O17)),ISNUMBER(SEARCH("Частник",O17))),M17,M17/1.20)</f>
        <v/>
      </c>
      <c r="O17" s="72" t="inlineStr">
        <is>
          <t>Проверенный собственник</t>
        </is>
      </c>
      <c r="P17" s="72" t="inlineStr">
        <is>
          <t>н/д</t>
        </is>
      </c>
      <c r="Q17" s="72" t="inlineStr">
        <is>
          <t>Drom</t>
        </is>
      </c>
      <c r="R17" s="71" t="inlineStr">
        <is>
          <t>https://auto.drom.ru/tesla/model_y/</t>
        </is>
      </c>
      <c r="S17" s="74" t="inlineStr">
        <is>
          <t>Активно</t>
        </is>
      </c>
      <c r="T17" s="72" t="inlineStr">
        <is>
          <t>—</t>
        </is>
      </c>
      <c r="U17" s="72" t="inlineStr">
        <is>
          <t>Performance P78D, 2022 г.в., 50 000 км. Москва, проверенный собственник.</t>
        </is>
      </c>
      <c r="V17" s="72" t="inlineStr">
        <is>
          <t>—</t>
        </is>
      </c>
      <c r="W17" s="72" t="inlineStr">
        <is>
          <t>—</t>
        </is>
      </c>
      <c r="X17" s="72" t="inlineStr">
        <is>
          <t>—</t>
        </is>
      </c>
      <c r="Y17" s="73" t="inlineStr">
        <is>
          <t>— нет VIN для проверки</t>
        </is>
      </c>
    </row>
    <row r="18" ht="49.5" customHeight="1" s="64">
      <c r="A18" s="77" t="n">
        <v>17</v>
      </c>
      <c r="B18" s="78" t="inlineStr">
        <is>
          <t>Drom (зеркало Avito)</t>
        </is>
      </c>
      <c r="C18" s="77" t="n">
        <v>2022</v>
      </c>
      <c r="D18" s="77" t="inlineStr">
        <is>
          <t>н/д</t>
        </is>
      </c>
      <c r="E18" s="78" t="inlineStr">
        <is>
          <t>Long Range 75D 513 л.с.</t>
        </is>
      </c>
      <c r="F18" s="77" t="n">
        <v>56000</v>
      </c>
      <c r="G18" s="78" t="inlineStr">
        <is>
          <t>н/д</t>
        </is>
      </c>
      <c r="H18" s="78" t="inlineStr">
        <is>
          <t>н/д</t>
        </is>
      </c>
      <c r="I18" s="78" t="inlineStr">
        <is>
          <t>б/у отличное</t>
        </is>
      </c>
      <c r="J18" s="77" t="inlineStr">
        <is>
          <t>Нет</t>
        </is>
      </c>
      <c r="K18" s="77" t="inlineStr">
        <is>
          <t>Базовый</t>
        </is>
      </c>
      <c r="L18" s="78" t="inlineStr">
        <is>
          <t>Краснодар</t>
        </is>
      </c>
      <c r="M18" s="79" t="n">
        <v>4500000</v>
      </c>
      <c r="N18" s="70">
        <f>IF(OR(ISNUMBER(SEARCH("Физлицо",O18)),ISNUMBER(SEARCH("Частник",O18))),M18,M18/1.20)</f>
        <v/>
      </c>
      <c r="O18" s="78" t="inlineStr">
        <is>
          <t>Проверенный собственник</t>
        </is>
      </c>
      <c r="P18" s="78" t="inlineStr">
        <is>
          <t>н/д</t>
        </is>
      </c>
      <c r="Q18" s="78" t="inlineStr">
        <is>
          <t>Drom</t>
        </is>
      </c>
      <c r="R18" s="71" t="inlineStr">
        <is>
          <t>https://auto.drom.ru/tesla/model_y/</t>
        </is>
      </c>
      <c r="S18" s="77" t="inlineStr">
        <is>
          <t>Активно</t>
        </is>
      </c>
      <c r="T18" s="78" t="inlineStr">
        <is>
          <t>—</t>
        </is>
      </c>
      <c r="U18" s="78" t="inlineStr">
        <is>
          <t>Long Range 75D 513 л.с., 2022 г.в., 56 000 км. Краснодар, проверенный собственник.</t>
        </is>
      </c>
      <c r="V18" s="72" t="inlineStr">
        <is>
          <t>—</t>
        </is>
      </c>
      <c r="W18" s="72" t="inlineStr">
        <is>
          <t>—</t>
        </is>
      </c>
      <c r="X18" s="72" t="inlineStr">
        <is>
          <t>—</t>
        </is>
      </c>
      <c r="Y18" s="73" t="inlineStr">
        <is>
          <t>— нет VIN для проверки</t>
        </is>
      </c>
    </row>
    <row r="19" ht="49.5" customHeight="1" s="64">
      <c r="A19" s="74" t="n">
        <v>18</v>
      </c>
      <c r="B19" s="72" t="inlineStr">
        <is>
          <t>Drom (зеркало Avito)</t>
        </is>
      </c>
      <c r="C19" s="74" t="n">
        <v>2023</v>
      </c>
      <c r="D19" s="74" t="inlineStr">
        <is>
          <t>н/д</t>
        </is>
      </c>
      <c r="E19" s="72" t="inlineStr">
        <is>
          <t>Long Range 75D 513 л.с.</t>
        </is>
      </c>
      <c r="F19" s="74" t="n">
        <v>29123</v>
      </c>
      <c r="G19" s="72" t="inlineStr">
        <is>
          <t>н/д</t>
        </is>
      </c>
      <c r="H19" s="72" t="inlineStr">
        <is>
          <t>н/д</t>
        </is>
      </c>
      <c r="I19" s="72" t="inlineStr">
        <is>
          <t>б/у отличное</t>
        </is>
      </c>
      <c r="J19" s="74" t="inlineStr">
        <is>
          <t>Нет</t>
        </is>
      </c>
      <c r="K19" s="74" t="inlineStr">
        <is>
          <t>Базовый</t>
        </is>
      </c>
      <c r="L19" s="72" t="inlineStr">
        <is>
          <t>Пермь</t>
        </is>
      </c>
      <c r="M19" s="75" t="n">
        <v>5500000</v>
      </c>
      <c r="N19" s="70">
        <f>IF(OR(ISNUMBER(SEARCH("Физлицо",O19)),ISNUMBER(SEARCH("Частник",O19))),M19,M19/1.20)</f>
        <v/>
      </c>
      <c r="O19" s="72" t="inlineStr">
        <is>
          <t>Юрлицо: Audi центр Пермь</t>
        </is>
      </c>
      <c r="P19" s="72" t="inlineStr">
        <is>
          <t>н/д</t>
        </is>
      </c>
      <c r="Q19" s="72" t="inlineStr">
        <is>
          <t>Drom</t>
        </is>
      </c>
      <c r="R19" s="71" t="inlineStr">
        <is>
          <t>https://auto.drom.ru/tesla/model_y/</t>
        </is>
      </c>
      <c r="S19" s="74" t="inlineStr">
        <is>
          <t>Активно</t>
        </is>
      </c>
      <c r="T19" s="72" t="inlineStr">
        <is>
          <t>Дилер с гарантией</t>
        </is>
      </c>
      <c r="U19" s="72" t="inlineStr">
        <is>
          <t>Long Range 75D 513 л.с., 2023 г.в., 29 123 км. Audi центр Пермь, официальный дилер с гарантией.</t>
        </is>
      </c>
      <c r="V19" s="72" t="inlineStr">
        <is>
          <t>—</t>
        </is>
      </c>
      <c r="W19" s="72" t="inlineStr">
        <is>
          <t>—</t>
        </is>
      </c>
      <c r="X19" s="72" t="inlineStr">
        <is>
          <t>—</t>
        </is>
      </c>
      <c r="Y19" s="73" t="inlineStr">
        <is>
          <t>— нет VIN для проверки</t>
        </is>
      </c>
    </row>
    <row r="20" ht="49.5" customHeight="1" s="64">
      <c r="A20" s="77" t="n">
        <v>19</v>
      </c>
      <c r="B20" s="78" t="inlineStr">
        <is>
          <t>Drom (зеркало Avito)</t>
        </is>
      </c>
      <c r="C20" s="77" t="n">
        <v>2022</v>
      </c>
      <c r="D20" s="77" t="inlineStr">
        <is>
          <t>н/д</t>
        </is>
      </c>
      <c r="E20" s="78" t="inlineStr">
        <is>
          <t>Performance P78D</t>
        </is>
      </c>
      <c r="F20" s="77" t="n">
        <v>19000</v>
      </c>
      <c r="G20" s="78" t="inlineStr">
        <is>
          <t>н/д</t>
        </is>
      </c>
      <c r="H20" s="78" t="inlineStr">
        <is>
          <t>н/д</t>
        </is>
      </c>
      <c r="I20" s="78" t="inlineStr">
        <is>
          <t>б/у отличное</t>
        </is>
      </c>
      <c r="J20" s="77" t="inlineStr">
        <is>
          <t>Нет</t>
        </is>
      </c>
      <c r="K20" s="77" t="inlineStr">
        <is>
          <t>Базовый</t>
        </is>
      </c>
      <c r="L20" s="78" t="inlineStr">
        <is>
          <t>Красногорск (МО)</t>
        </is>
      </c>
      <c r="M20" s="79" t="n">
        <v>7000000</v>
      </c>
      <c r="N20" s="70">
        <f>IF(OR(ISNUMBER(SEARCH("Физлицо",O20)),ISNUMBER(SEARCH("Частник",O20))),M20,M20/1.20)</f>
        <v/>
      </c>
      <c r="O20" s="78" t="inlineStr">
        <is>
          <t>Физлицо (собственник)</t>
        </is>
      </c>
      <c r="P20" s="78" t="inlineStr">
        <is>
          <t>н/д</t>
        </is>
      </c>
      <c r="Q20" s="78" t="inlineStr">
        <is>
          <t>Drom</t>
        </is>
      </c>
      <c r="R20" s="71" t="inlineStr">
        <is>
          <t>https://auto.drom.ru/tesla/model_y/</t>
        </is>
      </c>
      <c r="S20" s="77" t="inlineStr">
        <is>
          <t>Активно</t>
        </is>
      </c>
      <c r="T20" s="78" t="inlineStr">
        <is>
          <t>Минимальный пробег + Performance</t>
        </is>
      </c>
      <c r="U20" s="78" t="inlineStr">
        <is>
          <t>Performance P78D, 2022 г.в., 19 000 км. Красногорск (МО), физлицо-собственник. Минимальный пробег + Performance.</t>
        </is>
      </c>
      <c r="V20" s="72" t="inlineStr">
        <is>
          <t>—</t>
        </is>
      </c>
      <c r="W20" s="72" t="inlineStr">
        <is>
          <t>—</t>
        </is>
      </c>
      <c r="X20" s="72" t="inlineStr">
        <is>
          <t>—</t>
        </is>
      </c>
      <c r="Y20" s="73" t="inlineStr">
        <is>
          <t>— нет VIN для проверки</t>
        </is>
      </c>
    </row>
    <row r="21" ht="49.5" customHeight="1" s="64">
      <c r="A21" s="74" t="n">
        <v>20</v>
      </c>
      <c r="B21" s="72" t="inlineStr">
        <is>
          <t>Drom (зеркало Avito)</t>
        </is>
      </c>
      <c r="C21" s="74" t="n">
        <v>2023</v>
      </c>
      <c r="D21" s="74" t="inlineStr">
        <is>
          <t>н/д</t>
        </is>
      </c>
      <c r="E21" s="72" t="inlineStr">
        <is>
          <t>Performance 554 л.с.</t>
        </is>
      </c>
      <c r="F21" s="74" t="n">
        <v>73100</v>
      </c>
      <c r="G21" s="72" t="inlineStr">
        <is>
          <t>н/д</t>
        </is>
      </c>
      <c r="H21" s="72" t="inlineStr">
        <is>
          <t>н/д</t>
        </is>
      </c>
      <c r="I21" s="72" t="inlineStr">
        <is>
          <t>б/у отличное</t>
        </is>
      </c>
      <c r="J21" s="74" t="inlineStr">
        <is>
          <t>Неизв.</t>
        </is>
      </c>
      <c r="K21" s="74" t="inlineStr">
        <is>
          <t>Базовый</t>
        </is>
      </c>
      <c r="L21" s="72" t="inlineStr">
        <is>
          <t>Санкт-Петербург</t>
        </is>
      </c>
      <c r="M21" s="75" t="n">
        <v>4690000</v>
      </c>
      <c r="N21" s="70">
        <f>IF(OR(ISNUMBER(SEARCH("Физлицо",O21)),ISNUMBER(SEARCH("Частник",O21))),M21,M21/1.20)</f>
        <v/>
      </c>
      <c r="O21" s="72" t="inlineStr">
        <is>
          <t>Проверенный собственник</t>
        </is>
      </c>
      <c r="P21" s="72" t="inlineStr">
        <is>
          <t>н/д</t>
        </is>
      </c>
      <c r="Q21" s="72" t="inlineStr">
        <is>
          <t>Drom</t>
        </is>
      </c>
      <c r="R21" s="71" t="inlineStr">
        <is>
          <t>https://auto.drom.ru/tesla/model_y/</t>
        </is>
      </c>
      <c r="S21" s="74" t="inlineStr">
        <is>
          <t>Активно</t>
        </is>
      </c>
      <c r="T21" s="72" t="inlineStr">
        <is>
          <t>Большой пробег</t>
        </is>
      </c>
      <c r="U21" s="72" t="inlineStr">
        <is>
          <t>Performance 554 л.с., 2023 г.в., 73 100 км. Санкт-Петербург, проверенный собственник. Большой пробег.</t>
        </is>
      </c>
      <c r="V21" s="72" t="inlineStr">
        <is>
          <t>—</t>
        </is>
      </c>
      <c r="W21" s="72" t="inlineStr">
        <is>
          <t>—</t>
        </is>
      </c>
      <c r="X21" s="72" t="inlineStr">
        <is>
          <t>—</t>
        </is>
      </c>
      <c r="Y21" s="73" t="inlineStr">
        <is>
          <t>— нет VIN для проверки</t>
        </is>
      </c>
    </row>
    <row r="22" ht="49.5" customHeight="1" s="64">
      <c r="A22" s="77" t="n">
        <v>21</v>
      </c>
      <c r="B22" s="78" t="inlineStr">
        <is>
          <t>Drom (зеркало Avito)</t>
        </is>
      </c>
      <c r="C22" s="77" t="n">
        <v>2021</v>
      </c>
      <c r="D22" s="77" t="inlineStr">
        <is>
          <t>MY22 по VIN</t>
        </is>
      </c>
      <c r="E22" s="78" t="inlineStr">
        <is>
          <t>Performance P75D</t>
        </is>
      </c>
      <c r="F22" s="77" t="n">
        <v>31900</v>
      </c>
      <c r="G22" s="78" t="inlineStr">
        <is>
          <t>н/д</t>
        </is>
      </c>
      <c r="H22" s="78" t="inlineStr">
        <is>
          <t>н/д</t>
        </is>
      </c>
      <c r="I22" s="78" t="inlineStr">
        <is>
          <t>б/у отличное</t>
        </is>
      </c>
      <c r="J22" s="77" t="inlineStr">
        <is>
          <t>Неизв.</t>
        </is>
      </c>
      <c r="K22" s="77" t="inlineStr">
        <is>
          <t>Базовый</t>
        </is>
      </c>
      <c r="L22" s="78" t="inlineStr">
        <is>
          <t>Новороссийск</t>
        </is>
      </c>
      <c r="M22" s="79" t="n">
        <v>4400000</v>
      </c>
      <c r="N22" s="70">
        <f>IF(OR(ISNUMBER(SEARCH("Физлицо",O22)),ISNUMBER(SEARCH("Частник",O22))),M22,M22/1.20)</f>
        <v/>
      </c>
      <c r="O22" s="78" t="inlineStr">
        <is>
          <t>Проверенный собственник</t>
        </is>
      </c>
      <c r="P22" s="78" t="inlineStr">
        <is>
          <t>н/д</t>
        </is>
      </c>
      <c r="Q22" s="78" t="inlineStr">
        <is>
          <t>Drom</t>
        </is>
      </c>
      <c r="R22" s="71" t="inlineStr">
        <is>
          <t>https://auto.drom.ru/tesla/model_y/</t>
        </is>
      </c>
      <c r="S22" s="77" t="inlineStr">
        <is>
          <t>Активно</t>
        </is>
      </c>
      <c r="T22" s="78" t="inlineStr">
        <is>
          <t>10-й символ VIN = M (2021 модельный)</t>
        </is>
      </c>
      <c r="U22" s="78" t="inlineStr">
        <is>
          <t>Performance P75D, 2021 г.в. (по VIN MY22), 31 900 км. Новороссийск. 10-й символ VIN = M (2021 модельный год).</t>
        </is>
      </c>
      <c r="V22" s="72" t="inlineStr">
        <is>
          <t>—</t>
        </is>
      </c>
      <c r="W22" s="72" t="inlineStr">
        <is>
          <t>—</t>
        </is>
      </c>
      <c r="X22" s="72" t="inlineStr">
        <is>
          <t>—</t>
        </is>
      </c>
      <c r="Y22" s="73" t="inlineStr">
        <is>
          <t>— нет VIN для проверки</t>
        </is>
      </c>
    </row>
    <row r="23" ht="49.5" customHeight="1" s="64">
      <c r="A23" s="74" t="n">
        <v>22</v>
      </c>
      <c r="B23" s="72" t="inlineStr">
        <is>
          <t>Дилер: Moscow Tesla Club</t>
        </is>
      </c>
      <c r="C23" s="74" t="n">
        <v>2024</v>
      </c>
      <c r="D23" s="74" t="inlineStr">
        <is>
          <t>н/д</t>
        </is>
      </c>
      <c r="E23" s="72" t="inlineStr">
        <is>
          <t>Long Range AWD</t>
        </is>
      </c>
      <c r="F23" s="74" t="n">
        <v>0</v>
      </c>
      <c r="G23" s="72" t="inlineStr">
        <is>
          <t>чёрный</t>
        </is>
      </c>
      <c r="H23" s="72" t="inlineStr">
        <is>
          <t>н/д</t>
        </is>
      </c>
      <c r="I23" s="72" t="inlineStr">
        <is>
          <t>Новый</t>
        </is>
      </c>
      <c r="J23" s="74" t="inlineStr">
        <is>
          <t>Нет</t>
        </is>
      </c>
      <c r="K23" s="74" t="inlineStr">
        <is>
          <t>Базовый</t>
        </is>
      </c>
      <c r="L23" s="72" t="inlineStr">
        <is>
          <t>Москва</t>
        </is>
      </c>
      <c r="M23" s="75" t="n">
        <v>8925975</v>
      </c>
      <c r="N23" s="70">
        <f>IF(OR(ISNUMBER(SEARCH("Физлицо",O23)),ISNUMBER(SEARCH("Частник",O23))),M23,M23/1.20)</f>
        <v/>
      </c>
      <c r="O23" s="72" t="inlineStr">
        <is>
          <t>Юрлицо: Дилер</t>
        </is>
      </c>
      <c r="P23" s="72" t="inlineStr">
        <is>
          <t>EU/US</t>
        </is>
      </c>
      <c r="Q23" s="72" t="inlineStr">
        <is>
          <t>Moscow Tesla Club</t>
        </is>
      </c>
      <c r="R23" s="71" t="inlineStr">
        <is>
          <t>https://moscowteslaclub.ru/</t>
        </is>
      </c>
      <c r="S23" s="74" t="inlineStr">
        <is>
          <t>В наличии</t>
        </is>
      </c>
      <c r="T23" s="72" t="inlineStr">
        <is>
          <t>В шоу-руме</t>
        </is>
      </c>
      <c r="U23" s="72" t="inlineStr">
        <is>
          <t>Tesla Model Y Long Range AWD, 2024 г.в., чёрный, 0 км. Moscow Tesla Club. В наличии в шоу-руме.</t>
        </is>
      </c>
      <c r="V23" s="72" t="inlineStr">
        <is>
          <t>—</t>
        </is>
      </c>
      <c r="W23" s="72" t="inlineStr">
        <is>
          <t>—</t>
        </is>
      </c>
      <c r="X23" s="72" t="inlineStr">
        <is>
          <t>—</t>
        </is>
      </c>
      <c r="Y23" s="73" t="inlineStr">
        <is>
          <t>— нет VIN для проверки</t>
        </is>
      </c>
    </row>
    <row r="24" ht="49.5" customHeight="1" s="64">
      <c r="A24" s="77" t="n">
        <v>23</v>
      </c>
      <c r="B24" s="78" t="inlineStr">
        <is>
          <t>Дилер: Moscow Tesla Club</t>
        </is>
      </c>
      <c r="C24" s="77" t="n">
        <v>2025</v>
      </c>
      <c r="D24" s="77" t="inlineStr">
        <is>
          <t>н/д</t>
        </is>
      </c>
      <c r="E24" s="78" t="inlineStr">
        <is>
          <t>Performance Juniper</t>
        </is>
      </c>
      <c r="F24" s="77" t="n">
        <v>0</v>
      </c>
      <c r="G24" s="78" t="inlineStr">
        <is>
          <t>белый</t>
        </is>
      </c>
      <c r="H24" s="78" t="inlineStr">
        <is>
          <t>чёрный</t>
        </is>
      </c>
      <c r="I24" s="78" t="inlineStr">
        <is>
          <t>Новый</t>
        </is>
      </c>
      <c r="J24" s="77" t="inlineStr">
        <is>
          <t>Нет</t>
        </is>
      </c>
      <c r="K24" s="77" t="inlineStr">
        <is>
          <t>Базовый</t>
        </is>
      </c>
      <c r="L24" s="78" t="inlineStr">
        <is>
          <t>Москва</t>
        </is>
      </c>
      <c r="M24" s="79" t="n">
        <v>9372696</v>
      </c>
      <c r="N24" s="70">
        <f>IF(OR(ISNUMBER(SEARCH("Физлицо",O24)),ISNUMBER(SEARCH("Частник",O24))),M24,M24/1.20)</f>
        <v/>
      </c>
      <c r="O24" s="78" t="inlineStr">
        <is>
          <t>Юрлицо: Дилер</t>
        </is>
      </c>
      <c r="P24" s="78" t="inlineStr">
        <is>
          <t>Берлин/Шанхай</t>
        </is>
      </c>
      <c r="Q24" s="78" t="inlineStr">
        <is>
          <t>Moscow Tesla Club</t>
        </is>
      </c>
      <c r="R24" s="71" t="inlineStr">
        <is>
          <t>https://moscowteslaclub.ru/car/tesla-model-y-performance_7078</t>
        </is>
      </c>
      <c r="S24" s="77" t="inlineStr">
        <is>
          <t>Под заказ</t>
        </is>
      </c>
      <c r="T24" s="78" t="inlineStr">
        <is>
          <t>Juniper рестайлинг</t>
        </is>
      </c>
      <c r="U24" s="78" t="inlineStr">
        <is>
          <t>Performance Juniper 2025, белый/чёрный, 0 км. Moscow Tesla Club. Под заказ. Рестайлинг.</t>
        </is>
      </c>
      <c r="V24" s="72" t="inlineStr">
        <is>
          <t>—</t>
        </is>
      </c>
      <c r="W24" s="72" t="inlineStr">
        <is>
          <t>—</t>
        </is>
      </c>
      <c r="X24" s="72" t="inlineStr">
        <is>
          <t>—</t>
        </is>
      </c>
      <c r="Y24" s="73" t="inlineStr">
        <is>
          <t>— нет VIN для проверки</t>
        </is>
      </c>
    </row>
    <row r="25" ht="49.5" customHeight="1" s="64">
      <c r="A25" s="74" t="n">
        <v>24</v>
      </c>
      <c r="B25" s="72" t="inlineStr">
        <is>
          <t>Дилер: Moscow Tesla Club</t>
        </is>
      </c>
      <c r="C25" s="74" t="n">
        <v>2025</v>
      </c>
      <c r="D25" s="74" t="inlineStr">
        <is>
          <t>н/д</t>
        </is>
      </c>
      <c r="E25" s="72" t="inlineStr">
        <is>
          <t>Performance Juniper</t>
        </is>
      </c>
      <c r="F25" s="74" t="n">
        <v>0</v>
      </c>
      <c r="G25" s="72" t="inlineStr">
        <is>
          <t>красный</t>
        </is>
      </c>
      <c r="H25" s="72" t="inlineStr">
        <is>
          <t>чёрный</t>
        </is>
      </c>
      <c r="I25" s="72" t="inlineStr">
        <is>
          <t>Новый</t>
        </is>
      </c>
      <c r="J25" s="74" t="inlineStr">
        <is>
          <t>Нет</t>
        </is>
      </c>
      <c r="K25" s="74" t="inlineStr">
        <is>
          <t>Базовый</t>
        </is>
      </c>
      <c r="L25" s="72" t="inlineStr">
        <is>
          <t>Москва</t>
        </is>
      </c>
      <c r="M25" s="75" t="n">
        <v>9806845</v>
      </c>
      <c r="N25" s="70">
        <f>IF(OR(ISNUMBER(SEARCH("Физлицо",O25)),ISNUMBER(SEARCH("Частник",O25))),M25,M25/1.20)</f>
        <v/>
      </c>
      <c r="O25" s="72" t="inlineStr">
        <is>
          <t>Юрлицо: Дилер</t>
        </is>
      </c>
      <c r="P25" s="72" t="inlineStr">
        <is>
          <t>Берлин/Шанхай</t>
        </is>
      </c>
      <c r="Q25" s="72" t="inlineStr">
        <is>
          <t>Moscow Tesla Club</t>
        </is>
      </c>
      <c r="R25" s="71" t="inlineStr">
        <is>
          <t>https://moscowteslaclub.ru/car/tesla-model-y-performance_63345</t>
        </is>
      </c>
      <c r="S25" s="74" t="inlineStr">
        <is>
          <t>Под заказ</t>
        </is>
      </c>
      <c r="T25" s="72" t="inlineStr">
        <is>
          <t>Juniper Performance красный</t>
        </is>
      </c>
      <c r="U25" s="72" t="inlineStr">
        <is>
          <t>Performance Juniper 2025, красный/чёрный, 0 км. Moscow Tesla Club. Juniper Performance красный, под заказ.</t>
        </is>
      </c>
      <c r="V25" s="72" t="inlineStr">
        <is>
          <t>—</t>
        </is>
      </c>
      <c r="W25" s="72" t="inlineStr">
        <is>
          <t>—</t>
        </is>
      </c>
      <c r="X25" s="72" t="inlineStr">
        <is>
          <t>—</t>
        </is>
      </c>
      <c r="Y25" s="73" t="inlineStr">
        <is>
          <t>— нет VIN для проверки</t>
        </is>
      </c>
    </row>
    <row r="26" ht="49.5" customHeight="1" s="64">
      <c r="A26" s="77" t="n">
        <v>25</v>
      </c>
      <c r="B26" s="78" t="inlineStr">
        <is>
          <t>Дилер: Moscow Tesla Club</t>
        </is>
      </c>
      <c r="C26" s="77" t="n">
        <v>2025</v>
      </c>
      <c r="D26" s="77" t="inlineStr">
        <is>
          <t>н/д</t>
        </is>
      </c>
      <c r="E26" s="78" t="inlineStr">
        <is>
          <t>Launch Series Restyling</t>
        </is>
      </c>
      <c r="F26" s="77" t="n">
        <v>0</v>
      </c>
      <c r="G26" s="78" t="inlineStr">
        <is>
          <t>чёрный</t>
        </is>
      </c>
      <c r="H26" s="78" t="inlineStr">
        <is>
          <t>чёрный</t>
        </is>
      </c>
      <c r="I26" s="78" t="inlineStr">
        <is>
          <t>Новый</t>
        </is>
      </c>
      <c r="J26" s="77" t="inlineStr">
        <is>
          <t>Нет</t>
        </is>
      </c>
      <c r="K26" s="77" t="inlineStr">
        <is>
          <t>Базовый</t>
        </is>
      </c>
      <c r="L26" s="78" t="inlineStr">
        <is>
          <t>Москва</t>
        </is>
      </c>
      <c r="M26" s="79" t="n">
        <v>9809038</v>
      </c>
      <c r="N26" s="70">
        <f>IF(OR(ISNUMBER(SEARCH("Физлицо",O26)),ISNUMBER(SEARCH("Частник",O26))),M26,M26/1.20)</f>
        <v/>
      </c>
      <c r="O26" s="78" t="inlineStr">
        <is>
          <t>Юрлицо: Дилер</t>
        </is>
      </c>
      <c r="P26" s="78" t="inlineStr">
        <is>
          <t>EU</t>
        </is>
      </c>
      <c r="Q26" s="78" t="inlineStr">
        <is>
          <t>Moscow Tesla Club</t>
        </is>
      </c>
      <c r="R26" s="71" t="inlineStr">
        <is>
          <t>https://moscowteslaclub.ru/</t>
        </is>
      </c>
      <c r="S26" s="77" t="inlineStr">
        <is>
          <t>Под заказ</t>
        </is>
      </c>
      <c r="T26" s="78" t="inlineStr">
        <is>
          <t>Juniper Launch Series</t>
        </is>
      </c>
      <c r="U26" s="78" t="inlineStr">
        <is>
          <t>Launch Series Restyling 2025, чёрный/чёрный, 0 км. Moscow Tesla Club. Juniper Launch Series, под заказ.</t>
        </is>
      </c>
      <c r="V26" s="72" t="inlineStr">
        <is>
          <t>—</t>
        </is>
      </c>
      <c r="W26" s="72" t="inlineStr">
        <is>
          <t>—</t>
        </is>
      </c>
      <c r="X26" s="72" t="inlineStr">
        <is>
          <t>—</t>
        </is>
      </c>
      <c r="Y26" s="73" t="inlineStr">
        <is>
          <t>— нет VIN для проверки</t>
        </is>
      </c>
    </row>
    <row r="27" ht="49.5" customHeight="1" s="64">
      <c r="A27" s="74" t="n">
        <v>26</v>
      </c>
      <c r="B27" s="72" t="inlineStr">
        <is>
          <t>Дилер: Electrodrivemoscow</t>
        </is>
      </c>
      <c r="C27" s="74" t="n">
        <v>2025</v>
      </c>
      <c r="D27" s="74" t="inlineStr">
        <is>
          <t>н/д</t>
        </is>
      </c>
      <c r="E27" s="72" t="inlineStr">
        <is>
          <t>Long Range AWD Juniper</t>
        </is>
      </c>
      <c r="F27" s="74" t="n">
        <v>0</v>
      </c>
      <c r="G27" s="72" t="inlineStr">
        <is>
          <t>н/д</t>
        </is>
      </c>
      <c r="H27" s="72" t="inlineStr">
        <is>
          <t>н/д</t>
        </is>
      </c>
      <c r="I27" s="72" t="inlineStr">
        <is>
          <t>Новый</t>
        </is>
      </c>
      <c r="J27" s="74" t="inlineStr">
        <is>
          <t>Нет</t>
        </is>
      </c>
      <c r="K27" s="74" t="inlineStr">
        <is>
          <t>Базовый</t>
        </is>
      </c>
      <c r="L27" s="72" t="inlineStr">
        <is>
          <t>Москва</t>
        </is>
      </c>
      <c r="M27" s="75" t="n">
        <v>6821657</v>
      </c>
      <c r="N27" s="70">
        <f>IF(OR(ISNUMBER(SEARCH("Физлицо",O27)),ISNUMBER(SEARCH("Частник",O27))),M27,M27/1.20)</f>
        <v/>
      </c>
      <c r="O27" s="72" t="inlineStr">
        <is>
          <t>Юрлицо: Дилер</t>
        </is>
      </c>
      <c r="P27" s="72" t="inlineStr">
        <is>
          <t>EU</t>
        </is>
      </c>
      <c r="Q27" s="72" t="inlineStr">
        <is>
          <t>Electrodrivemoscow</t>
        </is>
      </c>
      <c r="R27" s="71" t="inlineStr">
        <is>
          <t>https://electrodrivemoscow.ru/</t>
        </is>
      </c>
      <c r="S27" s="74" t="inlineStr">
        <is>
          <t>Под заказ</t>
        </is>
      </c>
      <c r="T27" s="72" t="inlineStr">
        <is>
          <t>Цена БЕЗ растаможки/ЭПТС (~82400 € по курсу ЦБ)</t>
        </is>
      </c>
      <c r="U27" s="72" t="inlineStr">
        <is>
          <t>Long Range AWD Juniper 2025, 0 км. Electrodrivemoscow. Цена БЕЗ растаможки/ЭПТС (~82 400 € по курсу ЦБ).</t>
        </is>
      </c>
      <c r="V27" s="72" t="inlineStr">
        <is>
          <t>—</t>
        </is>
      </c>
      <c r="W27" s="72" t="inlineStr">
        <is>
          <t>—</t>
        </is>
      </c>
      <c r="X27" s="72" t="inlineStr">
        <is>
          <t>—</t>
        </is>
      </c>
      <c r="Y27" s="73" t="inlineStr">
        <is>
          <t>— нет VIN для проверки</t>
        </is>
      </c>
    </row>
    <row r="28" ht="49.5" customHeight="1" s="64">
      <c r="A28" s="77" t="n">
        <v>27</v>
      </c>
      <c r="B28" s="78" t="inlineStr">
        <is>
          <t>Дилер: Auto Premium Group</t>
        </is>
      </c>
      <c r="C28" s="77" t="n">
        <v>2024</v>
      </c>
      <c r="D28" s="77" t="inlineStr">
        <is>
          <t>н/д</t>
        </is>
      </c>
      <c r="E28" s="78" t="inlineStr">
        <is>
          <t>Long Range AWD</t>
        </is>
      </c>
      <c r="F28" s="77" t="n">
        <v>0</v>
      </c>
      <c r="G28" s="78" t="inlineStr">
        <is>
          <t>н/д</t>
        </is>
      </c>
      <c r="H28" s="78" t="inlineStr">
        <is>
          <t>н/д</t>
        </is>
      </c>
      <c r="I28" s="78" t="inlineStr">
        <is>
          <t>Новый</t>
        </is>
      </c>
      <c r="J28" s="77" t="inlineStr">
        <is>
          <t>Нет</t>
        </is>
      </c>
      <c r="K28" s="77" t="inlineStr">
        <is>
          <t>Базовый</t>
        </is>
      </c>
      <c r="L28" s="78" t="inlineStr">
        <is>
          <t>Москва</t>
        </is>
      </c>
      <c r="M28" s="79" t="n">
        <v>5770000</v>
      </c>
      <c r="N28" s="70">
        <f>IF(OR(ISNUMBER(SEARCH("Физлицо",O28)),ISNUMBER(SEARCH("Частник",O28))),M28,M28/1.20)</f>
        <v/>
      </c>
      <c r="O28" s="78" t="inlineStr">
        <is>
          <t>Юрлицо: Дилер</t>
        </is>
      </c>
      <c r="P28" s="78" t="inlineStr">
        <is>
          <t>EU/US</t>
        </is>
      </c>
      <c r="Q28" s="78" t="inlineStr">
        <is>
          <t>Auto Premium Group</t>
        </is>
      </c>
      <c r="R28" s="71" t="inlineStr">
        <is>
          <t>https://autopremiumgroup.ru/</t>
        </is>
      </c>
      <c r="S28" s="77" t="inlineStr">
        <is>
          <t>Под заказ</t>
        </is>
      </c>
      <c r="T28" s="78" t="inlineStr">
        <is>
          <t>Под заказ</t>
        </is>
      </c>
      <c r="U28" s="78" t="inlineStr">
        <is>
          <t>Long Range AWD 2024, 0 км. Auto Premium Group. Под заказ.</t>
        </is>
      </c>
      <c r="V28" s="72" t="inlineStr">
        <is>
          <t>—</t>
        </is>
      </c>
      <c r="W28" s="72" t="inlineStr">
        <is>
          <t>—</t>
        </is>
      </c>
      <c r="X28" s="72" t="inlineStr">
        <is>
          <t>—</t>
        </is>
      </c>
      <c r="Y28" s="73" t="inlineStr">
        <is>
          <t>— нет VIN для проверки</t>
        </is>
      </c>
    </row>
    <row r="29" ht="49.5" customHeight="1" s="64">
      <c r="A29" s="74" t="n">
        <v>28</v>
      </c>
      <c r="B29" s="72" t="inlineStr">
        <is>
          <t>Дилер: Auto Premium Group</t>
        </is>
      </c>
      <c r="C29" s="74" t="n">
        <v>2024</v>
      </c>
      <c r="D29" s="74" t="inlineStr">
        <is>
          <t>н/д</t>
        </is>
      </c>
      <c r="E29" s="72" t="inlineStr">
        <is>
          <t>Performance</t>
        </is>
      </c>
      <c r="F29" s="74" t="n">
        <v>0</v>
      </c>
      <c r="G29" s="72" t="inlineStr">
        <is>
          <t>н/д</t>
        </is>
      </c>
      <c r="H29" s="72" t="inlineStr">
        <is>
          <t>н/д</t>
        </is>
      </c>
      <c r="I29" s="72" t="inlineStr">
        <is>
          <t>Новый</t>
        </is>
      </c>
      <c r="J29" s="74" t="inlineStr">
        <is>
          <t>Нет</t>
        </is>
      </c>
      <c r="K29" s="74" t="inlineStr">
        <is>
          <t>Базовый</t>
        </is>
      </c>
      <c r="L29" s="72" t="inlineStr">
        <is>
          <t>Москва</t>
        </is>
      </c>
      <c r="M29" s="75" t="n">
        <v>6200000</v>
      </c>
      <c r="N29" s="70">
        <f>IF(OR(ISNUMBER(SEARCH("Физлицо",O29)),ISNUMBER(SEARCH("Частник",O29))),M29,M29/1.20)</f>
        <v/>
      </c>
      <c r="O29" s="72" t="inlineStr">
        <is>
          <t>Юрлицо: Дилер</t>
        </is>
      </c>
      <c r="P29" s="72" t="inlineStr">
        <is>
          <t>EU/US</t>
        </is>
      </c>
      <c r="Q29" s="72" t="inlineStr">
        <is>
          <t>Auto Premium Group</t>
        </is>
      </c>
      <c r="R29" s="71" t="inlineStr">
        <is>
          <t>https://autopremiumgroup.ru/</t>
        </is>
      </c>
      <c r="S29" s="74" t="inlineStr">
        <is>
          <t>Под заказ</t>
        </is>
      </c>
      <c r="T29" s="72" t="inlineStr">
        <is>
          <t>Performance под заказ</t>
        </is>
      </c>
      <c r="U29" s="72" t="inlineStr">
        <is>
          <t>Performance 2024, 0 км. Auto Premium Group. Performance под заказ.</t>
        </is>
      </c>
      <c r="V29" s="72" t="inlineStr">
        <is>
          <t>—</t>
        </is>
      </c>
      <c r="W29" s="72" t="inlineStr">
        <is>
          <t>—</t>
        </is>
      </c>
      <c r="X29" s="72" t="inlineStr">
        <is>
          <t>—</t>
        </is>
      </c>
      <c r="Y29" s="73" t="inlineStr">
        <is>
          <t>— нет VIN для проверки</t>
        </is>
      </c>
    </row>
    <row r="30" ht="49.5" customHeight="1" s="64">
      <c r="A30" s="77" t="n">
        <v>29</v>
      </c>
      <c r="B30" s="78" t="inlineStr">
        <is>
          <t>Avito (Москва, ЭлектроДрайв)</t>
        </is>
      </c>
      <c r="C30" s="77" t="n">
        <v>2025</v>
      </c>
      <c r="D30" s="77" t="inlineStr">
        <is>
          <t>конец 2025</t>
        </is>
      </c>
      <c r="E30" s="78" t="inlineStr">
        <is>
          <t>Long Range AWD (6 мест, удлинённый)</t>
        </is>
      </c>
      <c r="F30" s="77" t="n">
        <v>28</v>
      </c>
      <c r="G30" s="78" t="inlineStr">
        <is>
          <t>н/д</t>
        </is>
      </c>
      <c r="H30" s="78" t="inlineStr">
        <is>
          <t>н/д</t>
        </is>
      </c>
      <c r="I30" s="78" t="inlineStr">
        <is>
          <t>Новый</t>
        </is>
      </c>
      <c r="J30" s="77" t="inlineStr">
        <is>
          <t>Нет</t>
        </is>
      </c>
      <c r="K30" s="77" t="inlineStr">
        <is>
          <t>Базовый</t>
        </is>
      </c>
      <c r="L30" s="78" t="inlineStr">
        <is>
          <t>Москва</t>
        </is>
      </c>
      <c r="M30" s="79" t="n">
        <v>9990000</v>
      </c>
      <c r="N30" s="70">
        <f>IF(OR(ISNUMBER(SEARCH("Физлицо",O30)),ISNUMBER(SEARCH("Частник",O30))),M30,M30/1.20)</f>
        <v/>
      </c>
      <c r="O30" s="78" t="inlineStr">
        <is>
          <t>Юрлицо: ЭлектроДрайв</t>
        </is>
      </c>
      <c r="P30" s="78" t="inlineStr">
        <is>
          <t>Китай (Шанхай)</t>
        </is>
      </c>
      <c r="Q30" s="78" t="inlineStr">
        <is>
          <t>ЭлектроДрайв</t>
        </is>
      </c>
      <c r="R30" s="71" t="inlineStr">
        <is>
          <t>https://www.avito.ru/all/avtomobili/tesla/model_y-ASgBAgICAkTgtg2umSjitg22qTo?cd=1&amp;s=104</t>
        </is>
      </c>
      <c r="S30" s="77" t="inlineStr">
        <is>
          <t>В наличии</t>
        </is>
      </c>
      <c r="T30" s="78" t="inlineStr">
        <is>
          <t>НОВЫЙ Model Y Long удлинённый кузов, 6 мест, лизинг/НДС</t>
        </is>
      </c>
      <c r="U30" s="78" t="inlineStr">
        <is>
          <t>Новый Tesla Model Y Long (удлинённый кузов, 6 мест), произведён конец 2025 года. Электромобиль завезён и растаможен на юридическое лицо. Возможна продажа в лизинг, кредит, с НДС. ЭлектроДрайв, Москва.</t>
        </is>
      </c>
      <c r="V30" s="72" t="inlineStr">
        <is>
          <t>—</t>
        </is>
      </c>
      <c r="W30" s="72" t="inlineStr">
        <is>
          <t>—</t>
        </is>
      </c>
      <c r="X30" s="72" t="inlineStr">
        <is>
          <t>—</t>
        </is>
      </c>
      <c r="Y30" s="73" t="inlineStr">
        <is>
          <t>— нет VIN для проверки</t>
        </is>
      </c>
    </row>
    <row r="31" ht="49.5" customHeight="1" s="64">
      <c r="A31" s="74" t="n">
        <v>30</v>
      </c>
      <c r="B31" s="72" t="inlineStr">
        <is>
          <t>Avito (Омск)</t>
        </is>
      </c>
      <c r="C31" s="74" t="n">
        <v>2025</v>
      </c>
      <c r="D31" s="74" t="inlineStr">
        <is>
          <t>н/д</t>
        </is>
      </c>
      <c r="E31" s="72" t="inlineStr">
        <is>
          <t>Long Range AWD</t>
        </is>
      </c>
      <c r="F31" s="74" t="n">
        <v>5000</v>
      </c>
      <c r="G31" s="72" t="inlineStr">
        <is>
          <t>н/д</t>
        </is>
      </c>
      <c r="H31" s="72" t="inlineStr">
        <is>
          <t>н/д</t>
        </is>
      </c>
      <c r="I31" s="72" t="inlineStr">
        <is>
          <t>Новый</t>
        </is>
      </c>
      <c r="J31" s="74" t="inlineStr">
        <is>
          <t>Нет</t>
        </is>
      </c>
      <c r="K31" s="74" t="inlineStr">
        <is>
          <t>Базовый</t>
        </is>
      </c>
      <c r="L31" s="72" t="inlineStr">
        <is>
          <t>Омск</t>
        </is>
      </c>
      <c r="M31" s="75" t="n">
        <v>7700000</v>
      </c>
      <c r="N31" s="70">
        <f>IF(OR(ISNUMBER(SEARCH("Физлицо",O31)),ISNUMBER(SEARCH("Частник",O31))),M31,M31/1.20)</f>
        <v/>
      </c>
      <c r="O31" s="72" t="inlineStr">
        <is>
          <t>Физлицо (под заказ)</t>
        </is>
      </c>
      <c r="P31" s="72" t="inlineStr">
        <is>
          <t>EU/Китай</t>
        </is>
      </c>
      <c r="Q31" s="72" t="inlineStr">
        <is>
          <t>—</t>
        </is>
      </c>
      <c r="R31" s="71" t="inlineStr">
        <is>
          <t>https://www.avito.ru/all/avtomobili/tesla/model_y-ASgBAgICAkTgtg2umSjitg22qTo?cd=1&amp;s=104</t>
        </is>
      </c>
      <c r="S31" s="74" t="inlineStr">
        <is>
          <t>Активно</t>
        </is>
      </c>
      <c r="T31" s="72" t="inlineStr">
        <is>
          <t>Без пробега по РФ, льготный утильсбор, под заказ</t>
        </is>
      </c>
      <c r="U31" s="72" t="inlineStr">
        <is>
          <t>Tesla Model Y, 2025 г.в., 5 000 км. Современный стиль и надёжность. Без пробега по РФ, льготный утильсбор. Отправлю автомобиль на ваше имя в любой город под заказ. Омск.</t>
        </is>
      </c>
      <c r="V31" s="72" t="inlineStr">
        <is>
          <t>—</t>
        </is>
      </c>
      <c r="W31" s="72" t="inlineStr">
        <is>
          <t>—</t>
        </is>
      </c>
      <c r="X31" s="72" t="inlineStr">
        <is>
          <t>—</t>
        </is>
      </c>
      <c r="Y31" s="73" t="inlineStr">
        <is>
          <t>— нет VIN для проверки</t>
        </is>
      </c>
    </row>
    <row r="32" ht="49.5" customHeight="1" s="64">
      <c r="A32" s="77" t="n">
        <v>31</v>
      </c>
      <c r="B32" s="78" t="inlineStr">
        <is>
          <t>Avito (Новороссийск)</t>
        </is>
      </c>
      <c r="C32" s="77" t="n">
        <v>2025</v>
      </c>
      <c r="D32" s="77" t="inlineStr">
        <is>
          <t>н/д</t>
        </is>
      </c>
      <c r="E32" s="78" t="inlineStr">
        <is>
          <t>Long Range AWD</t>
        </is>
      </c>
      <c r="F32" s="77" t="n">
        <v>8000</v>
      </c>
      <c r="G32" s="84" t="inlineStr">
        <is>
          <t>Чёрный</t>
        </is>
      </c>
      <c r="H32" s="84" t="inlineStr">
        <is>
          <t>Чёрный (Tesla базовый)</t>
        </is>
      </c>
      <c r="I32" s="78" t="inlineStr">
        <is>
          <t>б/у отличное</t>
        </is>
      </c>
      <c r="J32" s="77" t="inlineStr">
        <is>
          <t>Нет</t>
        </is>
      </c>
      <c r="K32" s="77" t="inlineStr">
        <is>
          <t>Базовый</t>
        </is>
      </c>
      <c r="L32" s="78" t="inlineStr">
        <is>
          <t>Новороссийск</t>
        </is>
      </c>
      <c r="M32" s="79" t="n">
        <v>7500000</v>
      </c>
      <c r="N32" s="70">
        <f>IF(OR(ISNUMBER(SEARCH("Физлицо",O32)),ISNUMBER(SEARCH("Частник",O32))),M32,M32/1.20)</f>
        <v/>
      </c>
      <c r="O32" s="78" t="inlineStr">
        <is>
          <t>Физлицо: максим</t>
        </is>
      </c>
      <c r="P32" s="78" t="inlineStr">
        <is>
          <t>Корея/Китай/ОАЭ (под заказ)</t>
        </is>
      </c>
      <c r="Q32" s="78" t="inlineStr">
        <is>
          <t>максим</t>
        </is>
      </c>
      <c r="R32" s="71" t="inlineStr">
        <is>
          <t>https://www.avito.ru/vladivostok/avtomobili/tesla_model_y_at_2025_10_700_km_8205685953</t>
        </is>
      </c>
      <c r="S32" s="77" t="inlineStr">
        <is>
          <t>Активно</t>
        </is>
      </c>
      <c r="T32" s="78" t="inlineStr">
        <is>
          <t>С НДС, на Авито с марта 2026; Дилер CARFINANCE, контакт: Вадим Иванов</t>
        </is>
      </c>
      <c r="U32" s="78" t="inlineStr">
        <is>
          <t>Tesla Model Y Long Range AWD комплектация 450 л.с. Авто из-за рубежа без посредников и скрытых платежей. Доставка «под ключ» (стоимость указана до Владивостока). Привезём автомобиль напрямую из Кореи, Китая, ОАЭ, Европы, США и Японии — без переплат и сюрпризов. Полная проверка авто. Фиксированная цена — никаких допов, страховок, комиссий. Кредит от 18%, до 8 лет, без первого взноса. Честный trade-in.</t>
        </is>
      </c>
      <c r="V32" s="84" t="inlineStr">
        <is>
          <t>LXDS (НЕ Tesla! Возможно китайский клон)</t>
        </is>
      </c>
      <c r="W32" s="72" t="inlineStr">
        <is>
          <t>—</t>
        </is>
      </c>
      <c r="X32" s="72" t="inlineStr">
        <is>
          <t>—</t>
        </is>
      </c>
      <c r="Y32" s="80" t="inlineStr">
        <is>
          <t>✓ Завод совпадает (Китай)</t>
        </is>
      </c>
    </row>
    <row r="33" ht="49.5" customHeight="1" s="64">
      <c r="A33" s="74" t="n">
        <v>32</v>
      </c>
      <c r="B33" s="72" t="inlineStr">
        <is>
          <t>Avito (Владивосток, CARFINANCE)</t>
        </is>
      </c>
      <c r="C33" s="74" t="n">
        <v>2025</v>
      </c>
      <c r="D33" s="74" t="inlineStr">
        <is>
          <t>н/д</t>
        </is>
      </c>
      <c r="E33" s="72" t="inlineStr">
        <is>
          <t>Long Range AWD</t>
        </is>
      </c>
      <c r="F33" s="74" t="n">
        <v>10700</v>
      </c>
      <c r="G33" s="84" t="inlineStr">
        <is>
          <t>Серый</t>
        </is>
      </c>
      <c r="H33" s="84" t="inlineStr">
        <is>
          <t>Чёрный (Tesla базовый)</t>
        </is>
      </c>
      <c r="I33" s="72" t="inlineStr">
        <is>
          <t>Новый</t>
        </is>
      </c>
      <c r="J33" s="74" t="inlineStr">
        <is>
          <t>Нет</t>
        </is>
      </c>
      <c r="K33" s="74" t="inlineStr">
        <is>
          <t>Базовый</t>
        </is>
      </c>
      <c r="L33" s="72" t="inlineStr">
        <is>
          <t>Владивосток</t>
        </is>
      </c>
      <c r="M33" s="75" t="n">
        <v>7239000</v>
      </c>
      <c r="N33" s="70">
        <f>IF(OR(ISNUMBER(SEARCH("Физлицо",O33)),ISNUMBER(SEARCH("Частник",O33))),M33,M33/1.20)</f>
        <v/>
      </c>
      <c r="O33" s="72" t="inlineStr">
        <is>
          <t>Юрлицо: CARFINANCE</t>
        </is>
      </c>
      <c r="P33" s="72" t="inlineStr">
        <is>
          <t>н/д</t>
        </is>
      </c>
      <c r="Q33" s="72" t="inlineStr">
        <is>
          <t>CARFINANCE</t>
        </is>
      </c>
      <c r="R33" s="71" t="inlineStr">
        <is>
          <t>https://www.avito.ru/izhevsk/avtomobili/tesla_model_y_at_2023_9_500_km_7855755142</t>
        </is>
      </c>
      <c r="S33" s="74" t="inlineStr">
        <is>
          <t>Под заказ</t>
        </is>
      </c>
      <c r="T33" s="72" t="inlineStr">
        <is>
          <t>Доставка под ключ; Удмуртская Республика, Ижевск, Партизанская ул., 35 (р-н Первомайский). Частное лицо, 9 отзывов, рейтинг 5.0. Performance Рестайл с 4-м автопилотом; Ижевск, Удмуртия. Частное лицо. Performance Рестайл (FL/Juniper) с 4-м автопилотом, минимальный пробег 9500 км</t>
        </is>
      </c>
      <c r="U33" s="72" t="inlineStr">
        <is>
          <t>Продам Tesla Model Y Perfomance. 2023 год Рестайл, 4 автопилот, без парктроников. Минимальный пробег. Состояние новой машины. ВИН по запросу. Приложение работает, сертификаты есть.</t>
        </is>
      </c>
      <c r="V33" s="72" t="inlineStr">
        <is>
          <t>7SAY*** (Texas USA, Giga Texas)</t>
        </is>
      </c>
      <c r="W33" s="72" t="inlineStr">
        <is>
          <t>? (нет полного VIN)</t>
        </is>
      </c>
      <c r="X33" s="72" t="inlineStr">
        <is>
          <t>Austin, Texas (Giga Texas), США</t>
        </is>
      </c>
      <c r="Y33" s="85" t="inlineStr">
        <is>
          <t>⚠ Завод: США (заявленное происхождение не указано)</t>
        </is>
      </c>
    </row>
    <row r="34" ht="49.5" customHeight="1" s="64">
      <c r="A34" s="77" t="n">
        <v>33</v>
      </c>
      <c r="B34" s="78" t="inlineStr">
        <is>
          <t>Avito (Удмуртская респ., Ижевск)</t>
        </is>
      </c>
      <c r="C34" s="77" t="n">
        <v>2023</v>
      </c>
      <c r="D34" s="77" t="inlineStr">
        <is>
          <t>Рестайл</t>
        </is>
      </c>
      <c r="E34" s="78" t="inlineStr">
        <is>
          <t>Performance Рестайл</t>
        </is>
      </c>
      <c r="F34" s="77" t="n">
        <v>9500</v>
      </c>
      <c r="G34" s="78" t="inlineStr">
        <is>
          <t>чёрный</t>
        </is>
      </c>
      <c r="H34" s="78" t="inlineStr">
        <is>
          <t>чёрный</t>
        </is>
      </c>
      <c r="I34" s="78" t="inlineStr">
        <is>
          <t>б/у отличное</t>
        </is>
      </c>
      <c r="J34" s="77" t="inlineStr">
        <is>
          <t>Нет</t>
        </is>
      </c>
      <c r="K34" s="77" t="inlineStr">
        <is>
          <t>Базовый</t>
        </is>
      </c>
      <c r="L34" s="78" t="inlineStr">
        <is>
          <t>Ижевск</t>
        </is>
      </c>
      <c r="M34" s="79" t="n">
        <v>5490000</v>
      </c>
      <c r="N34" s="70">
        <f>IF(OR(ISNUMBER(SEARCH("Физлицо",O34)),ISNUMBER(SEARCH("Частник",O34))),M34,M34/1.20)</f>
        <v/>
      </c>
      <c r="O34" s="78" t="inlineStr">
        <is>
          <t>Физлицо</t>
        </is>
      </c>
      <c r="P34" s="78" t="inlineStr">
        <is>
          <t>н/д</t>
        </is>
      </c>
      <c r="Q34" s="78" t="inlineStr">
        <is>
          <t>—</t>
        </is>
      </c>
      <c r="R34" s="71" t="inlineStr">
        <is>
          <t>https://www.avito.ru/all/avtomobili/tesla/model_y-ASgBAgICAkTgtg2umSjitg22qTo?cd=1&amp;s=104</t>
        </is>
      </c>
      <c r="S34" s="77" t="inlineStr">
        <is>
          <t>Активно</t>
        </is>
      </c>
      <c r="T34" s="78" t="inlineStr">
        <is>
          <t>Рестайл 2023, автопилот 4, без парктроников. VIN по запросу</t>
        </is>
      </c>
      <c r="U34" s="78" t="inlineStr">
        <is>
          <t>Продам Tesla Model Y Perfomance. 2023 год Рестайл, 4 автопилот, без парктроников. Минимальный пробег. Состояние новой машины. VIN по запросу. Приложение работает, сертификаты есть. Удмуртия, Ижевск.</t>
        </is>
      </c>
      <c r="V34" s="72" t="inlineStr">
        <is>
          <t>—</t>
        </is>
      </c>
      <c r="W34" s="72" t="inlineStr">
        <is>
          <t>—</t>
        </is>
      </c>
      <c r="X34" s="72" t="inlineStr">
        <is>
          <t>—</t>
        </is>
      </c>
      <c r="Y34" s="73" t="inlineStr">
        <is>
          <t>— нет VIN для проверки</t>
        </is>
      </c>
    </row>
    <row r="35" ht="49.5" customHeight="1" s="64">
      <c r="A35" s="74" t="n">
        <v>34</v>
      </c>
      <c r="B35" s="72" t="inlineStr">
        <is>
          <t>Avito (Туапсе)</t>
        </is>
      </c>
      <c r="C35" s="74" t="n">
        <v>2023</v>
      </c>
      <c r="D35" s="74" t="inlineStr">
        <is>
          <t>н/д</t>
        </is>
      </c>
      <c r="E35" s="72" t="inlineStr">
        <is>
          <t>Long Range AWD</t>
        </is>
      </c>
      <c r="F35" s="74" t="n">
        <v>25000</v>
      </c>
      <c r="G35" s="72" t="inlineStr">
        <is>
          <t>н/д</t>
        </is>
      </c>
      <c r="H35" s="72" t="inlineStr">
        <is>
          <t>н/д</t>
        </is>
      </c>
      <c r="I35" s="72" t="inlineStr">
        <is>
          <t>б/у хорошее</t>
        </is>
      </c>
      <c r="J35" s="74" t="inlineStr">
        <is>
          <t>Нет</t>
        </is>
      </c>
      <c r="K35" s="74" t="inlineStr">
        <is>
          <t>Базовый</t>
        </is>
      </c>
      <c r="L35" s="72" t="inlineStr">
        <is>
          <t>Туапсе</t>
        </is>
      </c>
      <c r="M35" s="75" t="n">
        <v>5500000</v>
      </c>
      <c r="N35" s="70">
        <f>IF(OR(ISNUMBER(SEARCH("Физлицо",O35)),ISNUMBER(SEARCH("Частник",O35))),M35,M35/1.20)</f>
        <v/>
      </c>
      <c r="O35" s="72" t="inlineStr">
        <is>
          <t>Физлицо</t>
        </is>
      </c>
      <c r="P35" s="72" t="inlineStr">
        <is>
          <t>США</t>
        </is>
      </c>
      <c r="Q35" s="72" t="inlineStr">
        <is>
          <t>—</t>
        </is>
      </c>
      <c r="R35" s="71" t="inlineStr">
        <is>
          <t>https://www.avito.ru/all/avtomobili/tesla/model_y-ASgBAgICAkTgtg2umSjitg22qTo?cd=1&amp;s=104</t>
        </is>
      </c>
      <c r="S35" s="74" t="inlineStr">
        <is>
          <t>Активно</t>
        </is>
      </c>
      <c r="T35" s="72" t="inlineStr">
        <is>
          <t>Из США, растаможена в Краснодаре, доводчики, амбиент</t>
        </is>
      </c>
      <c r="U35" s="72" t="inlineStr">
        <is>
          <t>Tesla Model Y, 2023 г.в., 25 000 км. Машина привезена с Америки, растаможена в Краснодаре. Состояние хорошее. Установлены доводчики и эмбиентная подсветка салона. Туапсе.</t>
        </is>
      </c>
      <c r="V35" s="72" t="inlineStr">
        <is>
          <t>—</t>
        </is>
      </c>
      <c r="W35" s="72" t="inlineStr">
        <is>
          <t>—</t>
        </is>
      </c>
      <c r="X35" s="72" t="inlineStr">
        <is>
          <t>—</t>
        </is>
      </c>
      <c r="Y35" s="73" t="inlineStr">
        <is>
          <t>— нет VIN для проверки</t>
        </is>
      </c>
    </row>
    <row r="36" ht="49.5" customHeight="1" s="64">
      <c r="A36" s="77" t="n">
        <v>35</v>
      </c>
      <c r="B36" s="78" t="inlineStr">
        <is>
          <t>Avito (Казань, Игорь)</t>
        </is>
      </c>
      <c r="C36" s="77" t="n">
        <v>2023</v>
      </c>
      <c r="D36" s="77" t="inlineStr">
        <is>
          <t>н/д</t>
        </is>
      </c>
      <c r="E36" s="78" t="inlineStr">
        <is>
          <t>Long Range AWD Dual Motor</t>
        </is>
      </c>
      <c r="F36" s="77" t="n">
        <v>16300</v>
      </c>
      <c r="G36" s="78" t="inlineStr">
        <is>
          <t>н/д</t>
        </is>
      </c>
      <c r="H36" s="78" t="inlineStr">
        <is>
          <t>н/д</t>
        </is>
      </c>
      <c r="I36" s="78" t="inlineStr">
        <is>
          <t>б/у отличное</t>
        </is>
      </c>
      <c r="J36" s="77" t="inlineStr">
        <is>
          <t>Нет</t>
        </is>
      </c>
      <c r="K36" s="77" t="inlineStr">
        <is>
          <t>Базовый</t>
        </is>
      </c>
      <c r="L36" s="78" t="inlineStr">
        <is>
          <t>Казань</t>
        </is>
      </c>
      <c r="M36" s="79" t="n">
        <v>4650000</v>
      </c>
      <c r="N36" s="70">
        <f>IF(OR(ISNUMBER(SEARCH("Физлицо",O36)),ISNUMBER(SEARCH("Частник",O36))),M36,M36/1.20)</f>
        <v/>
      </c>
      <c r="O36" s="78" t="inlineStr">
        <is>
          <t>Физлицо: Игорь</t>
        </is>
      </c>
      <c r="P36" s="78" t="inlineStr">
        <is>
          <t>США (через Минск)</t>
        </is>
      </c>
      <c r="Q36" s="78" t="inlineStr">
        <is>
          <t>Игорь</t>
        </is>
      </c>
      <c r="R36" s="71" t="inlineStr">
        <is>
          <t>https://www.avito.ru/all/avtomobili/tesla/model_y-ASgBAgICAkTgtg2umSjitg22qTo?cd=1&amp;s=104</t>
        </is>
      </c>
      <c r="S36" s="77" t="inlineStr">
        <is>
          <t>Активно</t>
        </is>
      </c>
      <c r="T36" s="78" t="inlineStr">
        <is>
          <t>208 л.с. в ПТС, родной пробег, батарея в идеале</t>
        </is>
      </c>
      <c r="U36" s="78" t="inlineStr">
        <is>
          <t>Tesla Model Y 23 года, из США в отличном состоянии. Покупал в Минске в марте 24 года. Long Range полный привод, два мотора. По ПТС 208 л.с. Родной пробег 16 300 км. Батарея в идеале. Казань, Игорь.</t>
        </is>
      </c>
      <c r="V36" s="72" t="inlineStr">
        <is>
          <t>—</t>
        </is>
      </c>
      <c r="W36" s="72" t="inlineStr">
        <is>
          <t>—</t>
        </is>
      </c>
      <c r="X36" s="72" t="inlineStr">
        <is>
          <t>—</t>
        </is>
      </c>
      <c r="Y36" s="73" t="inlineStr">
        <is>
          <t>— нет VIN для проверки</t>
        </is>
      </c>
    </row>
    <row r="37" ht="49.5" customHeight="1" s="64">
      <c r="A37" s="74" t="n">
        <v>36</v>
      </c>
      <c r="B37" s="72" t="inlineStr">
        <is>
          <t>Avito (Калининград)</t>
        </is>
      </c>
      <c r="C37" s="74" t="n">
        <v>2023</v>
      </c>
      <c r="D37" s="74" t="inlineStr">
        <is>
          <t>н/д</t>
        </is>
      </c>
      <c r="E37" s="72" t="inlineStr">
        <is>
          <t>Long Range AWD Austin Edition (4680)</t>
        </is>
      </c>
      <c r="F37" s="74" t="n">
        <v>42900</v>
      </c>
      <c r="G37" s="72" t="inlineStr">
        <is>
          <t>н/д</t>
        </is>
      </c>
      <c r="H37" s="72" t="inlineStr">
        <is>
          <t>н/д</t>
        </is>
      </c>
      <c r="I37" s="72" t="inlineStr">
        <is>
          <t>б/у отличное</t>
        </is>
      </c>
      <c r="J37" s="74" t="inlineStr">
        <is>
          <t>Нет</t>
        </is>
      </c>
      <c r="K37" s="74" t="inlineStr">
        <is>
          <t>Базовый</t>
        </is>
      </c>
      <c r="L37" s="72" t="inlineStr">
        <is>
          <t>Калининград</t>
        </is>
      </c>
      <c r="M37" s="75" t="n">
        <v>4000000</v>
      </c>
      <c r="N37" s="70">
        <f>IF(OR(ISNUMBER(SEARCH("Физлицо",O37)),ISNUMBER(SEARCH("Частник",O37))),M37,M37/1.20)</f>
        <v/>
      </c>
      <c r="O37" s="72" t="inlineStr">
        <is>
          <t>Физлицо</t>
        </is>
      </c>
      <c r="P37" s="72" t="inlineStr">
        <is>
          <t>США (Giga Texas)</t>
        </is>
      </c>
      <c r="Q37" s="72" t="inlineStr">
        <is>
          <t>—</t>
        </is>
      </c>
      <c r="R37" s="71" t="inlineStr">
        <is>
          <t>https://www.avito.ru/all/avtomobili/tesla/model_y-ASgBAgICAkTgtg2umSjitg22qTo?cd=1&amp;s=104</t>
        </is>
      </c>
      <c r="S37" s="74" t="inlineStr">
        <is>
          <t>Активно</t>
        </is>
      </c>
      <c r="T37" s="72" t="inlineStr">
        <is>
          <t>Эксклюзивная сборка Austin на батареях 4680, 70 кВт·ч</t>
        </is>
      </c>
      <c r="U37" s="72" t="inlineStr">
        <is>
          <t>Tesla Model Y 2023 AWD — Austin Edition (4680). Эксклюзивная сборка из Остина (Giga Texas) на инновационных элементах 4680 — точно такие же используются в Tesla Cybertruck. Батарея ёмкостью 70 кВт·ч. Калининград.</t>
        </is>
      </c>
      <c r="V37" s="72" t="inlineStr">
        <is>
          <t>—</t>
        </is>
      </c>
      <c r="W37" s="72" t="inlineStr">
        <is>
          <t>—</t>
        </is>
      </c>
      <c r="X37" s="72" t="inlineStr">
        <is>
          <t>—</t>
        </is>
      </c>
      <c r="Y37" s="73" t="inlineStr">
        <is>
          <t>— нет VIN для проверки</t>
        </is>
      </c>
    </row>
    <row r="38" ht="49.5" customHeight="1" s="64">
      <c r="A38" s="77" t="n">
        <v>37</v>
      </c>
      <c r="B38" s="78" t="inlineStr">
        <is>
          <t>Avito (Кострома, юрлицо)</t>
        </is>
      </c>
      <c r="C38" s="77" t="n">
        <v>2023</v>
      </c>
      <c r="D38" s="77" t="inlineStr">
        <is>
          <t>н/д</t>
        </is>
      </c>
      <c r="E38" s="78" t="inlineStr">
        <is>
          <t>Long Range AWD</t>
        </is>
      </c>
      <c r="F38" s="77" t="n">
        <v>29033</v>
      </c>
      <c r="G38" s="78" t="inlineStr">
        <is>
          <t>белый</t>
        </is>
      </c>
      <c r="H38" s="84" t="inlineStr">
        <is>
          <t>Чёрный (Tesla базовый)</t>
        </is>
      </c>
      <c r="I38" s="78" t="inlineStr">
        <is>
          <t>б/у отличное</t>
        </is>
      </c>
      <c r="J38" s="77" t="inlineStr">
        <is>
          <t>Нет</t>
        </is>
      </c>
      <c r="K38" s="77" t="inlineStr">
        <is>
          <t>Базовый</t>
        </is>
      </c>
      <c r="L38" s="78" t="inlineStr">
        <is>
          <t>Кострома</t>
        </is>
      </c>
      <c r="M38" s="79" t="n">
        <v>5900000</v>
      </c>
      <c r="N38" s="70">
        <f>IF(OR(ISNUMBER(SEARCH("Физлицо",O38)),ISNUMBER(SEARCH("Частник",O38))),M38,M38/1.20)</f>
        <v/>
      </c>
      <c r="O38" s="78" t="inlineStr">
        <is>
          <t>Юрлицо (в лизинге)</t>
        </is>
      </c>
      <c r="P38" s="78" t="inlineStr">
        <is>
          <t>Германия (Berlin, VIN XP7Y)</t>
        </is>
      </c>
      <c r="Q38" s="78" t="inlineStr">
        <is>
          <t>—</t>
        </is>
      </c>
      <c r="R38" s="71" t="inlineStr">
        <is>
          <t>https://www.avito.ru/krasnodar/avtomobili/tesla_model_y_at_2023_55_000_km_8099120073</t>
        </is>
      </c>
      <c r="S38" s="77" t="inlineStr">
        <is>
          <t>Активно</t>
        </is>
      </c>
      <c r="T38" s="78" t="inlineStr">
        <is>
          <t>В лизинге до марта 2027, переуступка лизинга, с НДС, в полиуретане; Краснодар, ул. Дзержинского 100, р-н Прикубанский. ПТС оригинал, 1 владелец, не битый. Продавец: Ирина, частное лицо, на Авито с 2016, 17 отзывов, рейтинг 4.9. Тип: Long Range Dual (НЕ Performance!)</t>
        </is>
      </c>
      <c r="U38" s="78" t="inlineStr">
        <is>
          <t>Машина куплена из Европы, CCS2. Дополнительно установлены: теслоджик, s3xy button, доводчики всех дверей, автоматика на подъём капота. Машина в родной окраске, ваши проверки за свой счёт. ДТП есть по автотеке, но так надо было сделать — притёр автобус, страховую накрутили на полную. Работает обновление ПО (2026.14.3), батарейка 82 кВт.</t>
        </is>
      </c>
      <c r="V38" s="84" t="inlineStr">
        <is>
          <t>XP7Y*** (Berlin, Германия)</t>
        </is>
      </c>
      <c r="W38" s="72" t="inlineStr">
        <is>
          <t>? (нет полного VIN)</t>
        </is>
      </c>
      <c r="X38" s="72" t="inlineStr">
        <is>
          <t>Berlin (Giga Berlin), Германия</t>
        </is>
      </c>
      <c r="Y38" s="80" t="inlineStr">
        <is>
          <t>✓ Завод совпадает (Германия)</t>
        </is>
      </c>
    </row>
    <row r="39" ht="49.5" customHeight="1" s="64">
      <c r="A39" s="74" t="n">
        <v>38</v>
      </c>
      <c r="B39" s="72" t="inlineStr">
        <is>
          <t>Avito (Краснодар, Ирина)</t>
        </is>
      </c>
      <c r="C39" s="74" t="n">
        <v>2023</v>
      </c>
      <c r="D39" s="74" t="inlineStr">
        <is>
          <t>н/д</t>
        </is>
      </c>
      <c r="E39" s="72" t="inlineStr">
        <is>
          <t>Long Range Dual (НЕ Performance)</t>
        </is>
      </c>
      <c r="F39" s="74" t="n">
        <v>55000</v>
      </c>
      <c r="G39" s="72" t="inlineStr">
        <is>
          <t>жемчужный</t>
        </is>
      </c>
      <c r="H39" s="84" t="inlineStr">
        <is>
          <t>Чёрный (Tesla базовый)</t>
        </is>
      </c>
      <c r="I39" s="72" t="inlineStr">
        <is>
          <t>б/у хорошее</t>
        </is>
      </c>
      <c r="J39" s="74" t="inlineStr">
        <is>
          <t>Да (локально)</t>
        </is>
      </c>
      <c r="K39" s="74" t="inlineStr">
        <is>
          <t>Базовый</t>
        </is>
      </c>
      <c r="L39" s="72" t="inlineStr">
        <is>
          <t>Краснодар</t>
        </is>
      </c>
      <c r="M39" s="75" t="n">
        <v>5700000</v>
      </c>
      <c r="N39" s="70">
        <f>IF(OR(ISNUMBER(SEARCH("Физлицо",O39)),ISNUMBER(SEARCH("Частник",O39))),M39,M39/1.20)</f>
        <v/>
      </c>
      <c r="O39" s="72" t="inlineStr">
        <is>
          <t>Физлицо: Ирина</t>
        </is>
      </c>
      <c r="P39" s="72" t="inlineStr">
        <is>
          <t>н/д</t>
        </is>
      </c>
      <c r="Q39" s="72" t="inlineStr">
        <is>
          <t>Ирина</t>
        </is>
      </c>
      <c r="R39" s="71" t="inlineStr">
        <is>
          <t>https://www.avito.ru/sankt-peterburg/avtomobili/tesla_model_y_at_2023_25_000_km_3806749384</t>
        </is>
      </c>
      <c r="S39" s="74" t="inlineStr">
        <is>
          <t>Активно</t>
        </is>
      </c>
      <c r="T39" s="72" t="inlineStr">
        <is>
          <t>ДТП по автотеке, локальный окрас. Теслоджик, доводчики, авто подъём капота; СПб, Дворцовая пл. Продавец Вадим (5.0, 18 отзывов, на Авито с 2021). Не битый, 1 владелец. AMD Ryzen, AP3 (4 автопилот), Grok 14.6, Apple Watch как ключ. ИСПРАВЛЕНИЕ: на Avito Long Range Dual, не Performance; СПб, Дворцовая пл. (Адмиралтейская/Невский пр./Гостиный двор). Вадим, частное лицо, 18 отзывов, рейтинг 5.0, на Авито с 2021. Зарядка дома до 300₽ полная батарея. Grok ИИ, AP3, Ryzen, пожизненный премиум пакет, Apple Watch как ключ; СПб, Дворцовая пл., р-н Адмиралтейская/Невский. Вадим, частное лицо, на Авито с 2021, 18 отзывов. **Особенности**: прошивка с ИИ Grok 14.6, Ryzen, AP3, Apple Watch как ключ, CarPlay, пожизненный премиум пакет, переходник CCS2 в комплекте</t>
        </is>
      </c>
      <c r="U39" s="72" t="inlineStr">
        <is>
          <t>Привет! С Теслой полный порядок! В сервис моде ни одной ошибки. Жемчужный цвет. Стоит самая новая прошивка с искусственным интеллектом Grok. Обновляется без проблем. Последняя прошивка 14.6. Сертификаты обновились в ноябре прошлого года. Работает с часами Apple Watch (как ключ). Стоит CarPlay. На борту Ryzen, AP3. Пожизненный премиум пакет (да, вам не нужно за него платить по $10) — просмотр камер и видеозаписей удалённо и прочие фишки. Передам вам машину вместе с электронной почтой, чтобы всё работало как часики. Электронный ПТС (208 л.с.) и приложение для управления передам при покупке. Наклеена плёнка на арки для исключения повреждения от камней. Стоит удлинитель для сим, не надо ничего разбирать для установки. Очень комфортная подвеска. Батарея чувствует себя великолепно. Заряжаю дома, на медленной зарядке. Раз в месяц на быстрой (городская). В комплекте отдам переходник CCS2 для быстрой зарядки (45 минут) и зарядку от 220v. (220 особенно идеально, если вы живёте за городом в частном доме, большая экономия) Полностью зарядить машину до 300 рублей (полная батарея). Автосалоны прошу не беспокоить, на комиссию не поставлю. Обмен только на деньги) Можно в кредит, лизинг и другие варианты. Проверка на любом профильном дилере на ваш выбор. Торг обсудим при встрече!</t>
        </is>
      </c>
      <c r="V39" s="84" t="inlineStr">
        <is>
          <t>7SAY*** (Texas USA, Giga Texas)</t>
        </is>
      </c>
      <c r="W39" s="72" t="inlineStr">
        <is>
          <t>? (нет полного VIN)</t>
        </is>
      </c>
      <c r="X39" s="72" t="inlineStr">
        <is>
          <t>Austin, Texas (Giga Texas), США</t>
        </is>
      </c>
      <c r="Y39" s="85" t="inlineStr">
        <is>
          <t>⚠ Завод: США (заявленное происхождение не указано)</t>
        </is>
      </c>
    </row>
    <row r="40" ht="49.5" customHeight="1" s="64">
      <c r="A40" s="77" t="n">
        <v>39</v>
      </c>
      <c r="B40" s="78" t="inlineStr">
        <is>
          <t>Avito (СПб, Вадим)</t>
        </is>
      </c>
      <c r="C40" s="77" t="n">
        <v>2023</v>
      </c>
      <c r="D40" s="77" t="inlineStr">
        <is>
          <t>н/д</t>
        </is>
      </c>
      <c r="E40" s="78" t="inlineStr">
        <is>
          <t>Performance</t>
        </is>
      </c>
      <c r="F40" s="77" t="n">
        <v>25000</v>
      </c>
      <c r="G40" s="78" t="inlineStr">
        <is>
          <t>н/д</t>
        </is>
      </c>
      <c r="H40" s="78" t="inlineStr">
        <is>
          <t>тёмный</t>
        </is>
      </c>
      <c r="I40" s="78" t="inlineStr">
        <is>
          <t>б/у отличное</t>
        </is>
      </c>
      <c r="J40" s="77" t="inlineStr">
        <is>
          <t>Нет</t>
        </is>
      </c>
      <c r="K40" s="77" t="inlineStr">
        <is>
          <t>Базовый</t>
        </is>
      </c>
      <c r="L40" s="78" t="inlineStr">
        <is>
          <t>Санкт-Петербург</t>
        </is>
      </c>
      <c r="M40" s="79" t="n">
        <v>4390000</v>
      </c>
      <c r="N40" s="70">
        <f>IF(OR(ISNUMBER(SEARCH("Физлицо",O40)),ISNUMBER(SEARCH("Частник",O40))),M40,M40/1.20)</f>
        <v/>
      </c>
      <c r="O40" s="78" t="inlineStr">
        <is>
          <t>Физлицо: Вадим</t>
        </is>
      </c>
      <c r="P40" s="78" t="inlineStr">
        <is>
          <t>Германия (ввезён новым 05.2023)</t>
        </is>
      </c>
      <c r="Q40" s="78" t="inlineStr">
        <is>
          <t>Вадим</t>
        </is>
      </c>
      <c r="R40" s="71" t="inlineStr">
        <is>
          <t>https://www.avito.ru/moskovskaya_oblast_krasnogorsk/avtomobili/tesla_model_y_at_2023_62_000_km_8020053008</t>
        </is>
      </c>
      <c r="S40" s="77" t="inlineStr">
        <is>
          <t>Активно</t>
        </is>
      </c>
      <c r="T40" s="78" t="inlineStr">
        <is>
          <t>Прошивка 14.6 с ИИ Grok, сертификаты обновлены ноябрь 2025; Московская обл., г.о. Красногорск, пос. Архангельское, 1. Частное лицо, 10 отзывов, рейтинг 5.0, надёжный партнёр. Тёмный салон. **ТО май 2026** — масло в редукторах, 6 фильтров, сайлентблоки; в 2025 г. локальный окрас бампера и крышки багажника; Московская обл., г.о. Красногорск, пос. Архангельское, 1. Частное лицо, надёжный партнёр, 10 отзывов. Без звонков (предпочитает сообщения). **Был окрас**: бампер и крышка багажника после ДТП в 2025. Оригинальный Performance Германия 530 л.с., разгон 3.5 сек, ввезён 05.2023</t>
        </is>
      </c>
      <c r="U40" s="78" t="inlineStr">
        <is>
          <t>Оригинальный Performance, производство Германия, 530 л.с. разгон 3.5, ввезён новым под себя в мае 2023. Допы: электропривод переднего багажника, омыватель камеры заднего вида, шумоизоляция колёсных арок и дверей, электро ручки дверей с подсветкой, доводчики, андроид панель. Зимняя резина R21. Каждую весну проводилось ТО и замена фильтров. 15 мая 2026 проведено крайнее ТО, диагностика, сход развал, замена масла в редукторах, замена всех 6 фильтров, замена сайленблоков подвески (рекомендации по пробегу). В 2025 в пробке было не сильное повреждение, красили бампер и крышку багажника. Фото повреждений представлю.</t>
        </is>
      </c>
      <c r="V40" s="72" t="inlineStr">
        <is>
          <t>Berlin</t>
        </is>
      </c>
      <c r="W40" s="72" t="inlineStr">
        <is>
          <t>? (нет полного VIN)</t>
        </is>
      </c>
      <c r="X40" s="72" t="inlineStr">
        <is>
          <t>Berlin (Giga Berlin), Германия</t>
        </is>
      </c>
      <c r="Y40" s="80" t="inlineStr">
        <is>
          <t>✓ Завод совпадает (Германия)</t>
        </is>
      </c>
    </row>
    <row r="41" ht="49.5" customHeight="1" s="64">
      <c r="A41" s="74" t="n">
        <v>40</v>
      </c>
      <c r="B41" s="72" t="inlineStr">
        <is>
          <t>Avito (Красногорск)</t>
        </is>
      </c>
      <c r="C41" s="74" t="n">
        <v>2023</v>
      </c>
      <c r="D41" s="74" t="inlineStr">
        <is>
          <t>Май 2023</t>
        </is>
      </c>
      <c r="E41" s="72" t="inlineStr">
        <is>
          <t>Performance Berlin</t>
        </is>
      </c>
      <c r="F41" s="74" t="n">
        <v>62000</v>
      </c>
      <c r="G41" s="72" t="inlineStr">
        <is>
          <t>светлый</t>
        </is>
      </c>
      <c r="H41" s="72" t="inlineStr">
        <is>
          <t>светлый</t>
        </is>
      </c>
      <c r="I41" s="72" t="inlineStr">
        <is>
          <t>б/у отличное</t>
        </is>
      </c>
      <c r="J41" s="74" t="inlineStr">
        <is>
          <t>Нет</t>
        </is>
      </c>
      <c r="K41" s="74" t="inlineStr">
        <is>
          <t>Базовый</t>
        </is>
      </c>
      <c r="L41" s="72" t="inlineStr">
        <is>
          <t>Красногорск (пос. Архангельское)</t>
        </is>
      </c>
      <c r="M41" s="75" t="n">
        <v>5300000</v>
      </c>
      <c r="N41" s="70">
        <f>IF(OR(ISNUMBER(SEARCH("Физлицо",O41)),ISNUMBER(SEARCH("Частник",O41))),M41,M41/1.20)</f>
        <v/>
      </c>
      <c r="O41" s="72" t="inlineStr">
        <is>
          <t>Физлицо</t>
        </is>
      </c>
      <c r="P41" s="72" t="inlineStr">
        <is>
          <t>США (заказ с завода)</t>
        </is>
      </c>
      <c r="Q41" s="72" t="inlineStr">
        <is>
          <t>—</t>
        </is>
      </c>
      <c r="R41" s="71" t="inlineStr">
        <is>
          <t>https://www.avito.ru/stavropol/avtomobili/tesla_model_y_at_2023_19_500_km_3225471165</t>
        </is>
      </c>
      <c r="S41" s="74" t="inlineStr">
        <is>
          <t>Активно</t>
        </is>
      </c>
      <c r="T41" s="72" t="inlineStr">
        <is>
          <t>Оригинальный Performance, 530 л.с., 3.5 сек. Ввезён новым в мае 2023; Ставрополь. Продавец Станислав (4.6, 8 отзывов, на Авито с 2011). Заказан с завода Tesla в Джексонвилле, есть видео получения. Батарея 82 А·ч (больше китайских/европейских версий), керамика, броня перед; Ставрополь, ул. Пирогова (р-н Промышленный). Станислав, частное лицо, 8 отзывов, рейтинг 4.6, на Авито с 2011. Заказан лично с завода Tesla в Джексонвилле, есть видео получения из салона. Батарея 82 А/ч (больше китайских/EU); Ставропольский край, Ставрополь, ул. Пирогова, р-н Промышленный. Станислав, частное лицо, на Авито с 2011, 8 отзывов. **Особенность**: батарея 82 А/ч (больше китайских/EU), видео-доказательство забора с завода Tesla в Джексонвилле</t>
        </is>
      </c>
      <c r="U41" s="72" t="inlineStr">
        <is>
          <t>Автомобиль привезён новым из США в 2023 г. Заказывается мною лично на заводе Тесла, произведён в 2022 г., есть видео доказательство забора из салона Тесла в Джексонвилле. Машина в состоянии Новой, одна из немногих целых небитых автомобилей на Авито. Комплектация Tesla Model Y Performance, светлый салон. Авто оформлен на меня, все функции проверены, работает безупречно — это безопасней, чем покупать не проверенный автомобиль. Установлена сим-карта, покрыта керамикой и забронирован перед. В подарок отдам оригинальную зарядку Тесла на 32А. Стоит батарея на 82А/ч — это больше, чем у китайских и европейских версий. VIN скину по запросу.</t>
        </is>
      </c>
      <c r="V41" s="72" t="inlineStr">
        <is>
          <t>VIN скину по запросу (США 2022)</t>
        </is>
      </c>
      <c r="W41" s="72" t="inlineStr">
        <is>
          <t>—</t>
        </is>
      </c>
      <c r="X41" s="72" t="inlineStr">
        <is>
          <t>—</t>
        </is>
      </c>
      <c r="Y41" s="80" t="inlineStr">
        <is>
          <t>✓ Завод совпадает (США)</t>
        </is>
      </c>
    </row>
    <row r="42" ht="49.5" customHeight="1" s="64">
      <c r="A42" s="77" t="n">
        <v>41</v>
      </c>
      <c r="B42" s="78" t="inlineStr">
        <is>
          <t>Avito (Ставрополь, Станислав)</t>
        </is>
      </c>
      <c r="C42" s="77" t="n">
        <v>2023</v>
      </c>
      <c r="D42" s="77" t="inlineStr">
        <is>
          <t>2022 произв.</t>
        </is>
      </c>
      <c r="E42" s="78" t="inlineStr">
        <is>
          <t>Performance</t>
        </is>
      </c>
      <c r="F42" s="77" t="n">
        <v>19500</v>
      </c>
      <c r="G42" s="78" t="inlineStr">
        <is>
          <t>н/д</t>
        </is>
      </c>
      <c r="H42" s="78" t="inlineStr">
        <is>
          <t>н/д</t>
        </is>
      </c>
      <c r="I42" s="78" t="inlineStr">
        <is>
          <t>б/у отличное</t>
        </is>
      </c>
      <c r="J42" s="77" t="inlineStr">
        <is>
          <t>Нет</t>
        </is>
      </c>
      <c r="K42" s="77" t="inlineStr">
        <is>
          <t>Базовый</t>
        </is>
      </c>
      <c r="L42" s="78" t="inlineStr">
        <is>
          <t>Ставрополь</t>
        </is>
      </c>
      <c r="M42" s="79" t="n">
        <v>5400000</v>
      </c>
      <c r="N42" s="70">
        <f>IF(OR(ISNUMBER(SEARCH("Физлицо",O42)),ISNUMBER(SEARCH("Частник",O42))),M42,M42/1.20)</f>
        <v/>
      </c>
      <c r="O42" s="78" t="inlineStr">
        <is>
          <t>Физлицо: Станислав</t>
        </is>
      </c>
      <c r="P42" s="78" t="inlineStr">
        <is>
          <t>США (Джексонвилл)</t>
        </is>
      </c>
      <c r="Q42" s="78" t="inlineStr">
        <is>
          <t>Станислав</t>
        </is>
      </c>
      <c r="R42" s="71" t="inlineStr">
        <is>
          <t>https://www.avito.ru/all/avtomobili/tesla/model_y-ASgBAgICAkTgtg2umSjitg22qTo?cd=1&amp;s=104</t>
        </is>
      </c>
      <c r="S42" s="77" t="inlineStr">
        <is>
          <t>Активно</t>
        </is>
      </c>
      <c r="T42" s="78" t="inlineStr">
        <is>
          <t>Заказан лично с завода Tesla, есть видео получения из салона</t>
        </is>
      </c>
      <c r="U42" s="78" t="inlineStr">
        <is>
          <t>Tesla Y американец из Лос-Анжелеса. Комплектация Performance. Самая богатая комплектация. Полный автопилот — пакет полного самоуправления (докупался отдельно, стоит 15 тыс. долларов). СПб.</t>
        </is>
      </c>
      <c r="V42" s="72" t="inlineStr">
        <is>
          <t>—</t>
        </is>
      </c>
      <c r="W42" s="72" t="inlineStr">
        <is>
          <t>—</t>
        </is>
      </c>
      <c r="X42" s="72" t="inlineStr">
        <is>
          <t>—</t>
        </is>
      </c>
      <c r="Y42" s="73" t="inlineStr">
        <is>
          <t>— нет VIN для проверки</t>
        </is>
      </c>
    </row>
    <row r="43" ht="49.5" customHeight="1" s="64">
      <c r="A43" s="74" t="n">
        <v>42</v>
      </c>
      <c r="B43" s="72" t="inlineStr">
        <is>
          <t>Avito (Краснодар, AMIZ MOTORS)</t>
        </is>
      </c>
      <c r="C43" s="74" t="n">
        <v>2023</v>
      </c>
      <c r="D43" s="74" t="inlineStr">
        <is>
          <t>н/д</t>
        </is>
      </c>
      <c r="E43" s="72" t="inlineStr">
        <is>
          <t>Long Range Dual Motor</t>
        </is>
      </c>
      <c r="F43" s="74" t="n">
        <v>28850</v>
      </c>
      <c r="G43" s="72" t="inlineStr">
        <is>
          <t>н/д</t>
        </is>
      </c>
      <c r="H43" s="72" t="inlineStr">
        <is>
          <t>н/д</t>
        </is>
      </c>
      <c r="I43" s="72" t="inlineStr">
        <is>
          <t>б/у отличное</t>
        </is>
      </c>
      <c r="J43" s="74" t="inlineStr">
        <is>
          <t>Нет</t>
        </is>
      </c>
      <c r="K43" s="74" t="inlineStr">
        <is>
          <t>Базовый</t>
        </is>
      </c>
      <c r="L43" s="72" t="inlineStr">
        <is>
          <t>Геленджик</t>
        </is>
      </c>
      <c r="M43" s="75" t="n">
        <v>4550000</v>
      </c>
      <c r="N43" s="70">
        <f>IF(OR(ISNUMBER(SEARCH("Физлицо",O43)),ISNUMBER(SEARCH("Частник",O43))),M43,M43/1.20)</f>
        <v/>
      </c>
      <c r="O43" s="72" t="inlineStr">
        <is>
          <t>Физлицо (через AMIZ)</t>
        </is>
      </c>
      <c r="P43" s="72" t="inlineStr">
        <is>
          <t>Германия (Berlin)</t>
        </is>
      </c>
      <c r="Q43" s="72" t="inlineStr">
        <is>
          <t>AMIZ MOTORS</t>
        </is>
      </c>
      <c r="R43" s="71" t="inlineStr">
        <is>
          <t>https://www.avito.ru/all/avtomobili/tesla/model_y-ASgBAgICAkTgtg2umSjitg22qTo?cd=1&amp;s=104</t>
        </is>
      </c>
      <c r="S43" s="74" t="inlineStr">
        <is>
          <t>Активно</t>
        </is>
      </c>
      <c r="T43" s="72" t="inlineStr">
        <is>
          <t>Не бит, батарея 78 кВт·ч, запас 500+ км</t>
        </is>
      </c>
      <c r="U43" s="72" t="inlineStr">
        <is>
          <t>Сборка Германия (Giga Berlin). Покупался новым. Один владелец. Без ДТП. Европейский порт зарядки CCS2. Двойные стёкла, приложение работает. Идеальное состояние. Два комплекта резины. Краснодар.</t>
        </is>
      </c>
      <c r="V43" s="72" t="inlineStr">
        <is>
          <t>—</t>
        </is>
      </c>
      <c r="W43" s="72" t="inlineStr">
        <is>
          <t>—</t>
        </is>
      </c>
      <c r="X43" s="72" t="inlineStr">
        <is>
          <t>—</t>
        </is>
      </c>
      <c r="Y43" s="73" t="inlineStr">
        <is>
          <t>— нет VIN для проверки</t>
        </is>
      </c>
    </row>
    <row r="44" ht="49.5" customHeight="1" s="64">
      <c r="A44" s="77" t="n">
        <v>43</v>
      </c>
      <c r="B44" s="78" t="inlineStr">
        <is>
          <t>Avito (СПб)</t>
        </is>
      </c>
      <c r="C44" s="77" t="n">
        <v>2023</v>
      </c>
      <c r="D44" s="77" t="inlineStr">
        <is>
          <t>н/д</t>
        </is>
      </c>
      <c r="E44" s="84" t="inlineStr">
        <is>
          <t>Performance</t>
        </is>
      </c>
      <c r="F44" s="77" t="n">
        <v>29000</v>
      </c>
      <c r="G44" s="78" t="inlineStr">
        <is>
          <t>н/д</t>
        </is>
      </c>
      <c r="H44" s="78" t="inlineStr">
        <is>
          <t>н/д</t>
        </is>
      </c>
      <c r="I44" s="78" t="inlineStr">
        <is>
          <t>б/у отличное</t>
        </is>
      </c>
      <c r="J44" s="77" t="inlineStr">
        <is>
          <t>Нет</t>
        </is>
      </c>
      <c r="K44" s="77" t="inlineStr">
        <is>
          <t>Полный FSD</t>
        </is>
      </c>
      <c r="L44" s="78" t="inlineStr">
        <is>
          <t>Санкт-Петербург</t>
        </is>
      </c>
      <c r="M44" s="79" t="n">
        <v>4850000</v>
      </c>
      <c r="N44" s="70">
        <f>IF(OR(ISNUMBER(SEARCH("Физлицо",O44)),ISNUMBER(SEARCH("Частник",O44))),M44,M44/1.20)</f>
        <v/>
      </c>
      <c r="O44" s="78" t="inlineStr">
        <is>
          <t>Физлицо</t>
        </is>
      </c>
      <c r="P44" s="78" t="inlineStr">
        <is>
          <t>США (Лос-Анжелес)</t>
        </is>
      </c>
      <c r="Q44" s="78" t="inlineStr">
        <is>
          <t>—</t>
        </is>
      </c>
      <c r="R44" s="71" t="inlineStr">
        <is>
          <t>https://www.avito.ru/all/avtomobili/tesla/model_y-ASgBAgICAkTgtg2umSjitg22qTo?cd=1&amp;s=104</t>
        </is>
      </c>
      <c r="S44" s="77" t="inlineStr">
        <is>
          <t>Активно</t>
        </is>
      </c>
      <c r="T44" s="78" t="inlineStr">
        <is>
          <t>Полный автопилот FSD доплачен $15 000; ⚠ ИСПРАВЛЕНО (валидация 21.05.26): модификация изменена с Long Range на Performance — описание явно указывает 534 л.с. и Performance (было: «Long Range AWD»)</t>
        </is>
      </c>
      <c r="U44" s="78" t="inlineStr">
        <is>
          <t>Состояние нового авто, настоящий performance, не шитый long range. Машина германской сборки Giga Berlin, вся в броне плёнке, не битый и не крашеный, как с аукциона США. Родная резина R21. Краснодар.</t>
        </is>
      </c>
      <c r="V44" s="72" t="inlineStr">
        <is>
          <t>—</t>
        </is>
      </c>
      <c r="W44" s="72" t="inlineStr">
        <is>
          <t>—</t>
        </is>
      </c>
      <c r="X44" s="72" t="inlineStr">
        <is>
          <t>—</t>
        </is>
      </c>
      <c r="Y44" s="73" t="inlineStr">
        <is>
          <t>— нет VIN для проверки</t>
        </is>
      </c>
    </row>
    <row r="45" ht="49.5" customHeight="1" s="64">
      <c r="A45" s="74" t="n">
        <v>44</v>
      </c>
      <c r="B45" s="72" t="inlineStr">
        <is>
          <t>Avito (Краснодар)</t>
        </is>
      </c>
      <c r="C45" s="74" t="n">
        <v>2023</v>
      </c>
      <c r="D45" s="74" t="inlineStr">
        <is>
          <t>н/д</t>
        </is>
      </c>
      <c r="E45" s="72" t="inlineStr">
        <is>
          <t>Long Range AWD Giga Berlin</t>
        </is>
      </c>
      <c r="F45" s="74" t="n">
        <v>42000</v>
      </c>
      <c r="G45" s="84" t="inlineStr">
        <is>
          <t>Чёрный</t>
        </is>
      </c>
      <c r="H45" s="84" t="inlineStr">
        <is>
          <t>Чёрный (Tesla базовый)</t>
        </is>
      </c>
      <c r="I45" s="72" t="inlineStr">
        <is>
          <t>б/у отличное</t>
        </is>
      </c>
      <c r="J45" s="74" t="inlineStr">
        <is>
          <t>Нет</t>
        </is>
      </c>
      <c r="K45" s="74" t="inlineStr">
        <is>
          <t>Базовый</t>
        </is>
      </c>
      <c r="L45" s="72" t="inlineStr">
        <is>
          <t>Краснодар</t>
        </is>
      </c>
      <c r="M45" s="75" t="n">
        <v>4590000</v>
      </c>
      <c r="N45" s="70">
        <f>IF(OR(ISNUMBER(SEARCH("Физлицо",O45)),ISNUMBER(SEARCH("Частник",O45))),M45,M45/1.20)</f>
        <v/>
      </c>
      <c r="O45" s="72" t="inlineStr">
        <is>
          <t>Физлицо</t>
        </is>
      </c>
      <c r="P45" s="72" t="inlineStr">
        <is>
          <t>Китай (Шанхай)</t>
        </is>
      </c>
      <c r="Q45" s="72" t="inlineStr">
        <is>
          <t>—</t>
        </is>
      </c>
      <c r="R45" s="71" t="inlineStr">
        <is>
          <t>https://www.avito.ru/moskva/avtomobili/tesla_model_y_at_2022_21_000_km_8007200599</t>
        </is>
      </c>
      <c r="S45" s="74" t="inlineStr">
        <is>
          <t>Активно</t>
        </is>
      </c>
      <c r="T45" s="72" t="inlineStr">
        <is>
          <t>1 владелец, без ДТП, CCS2, двойные стёкла; Москва, ул. Жебрунова, 6Б, р-н Митьково/Сокольники/Красносельская. Частное лицо. **Коррекция**: завод Шанхай (Китай), не Германия</t>
        </is>
      </c>
      <c r="U45" s="72" t="inlineStr">
        <is>
          <t>Машина супруги. Фары оклеены бронепленкой, установлены доводчики на все двери, сделана шумоизоляция. Пробег честный. ДТП не было. Завод Шанхай. Привозили новой для себя.</t>
        </is>
      </c>
      <c r="V45" s="84" t="inlineStr">
        <is>
          <t>LRWY*** (Shanghai, Китай)</t>
        </is>
      </c>
      <c r="W45" s="72" t="inlineStr">
        <is>
          <t>? (нет полного VIN)</t>
        </is>
      </c>
      <c r="X45" s="72" t="inlineStr">
        <is>
          <t>Shanghai (Giga Shanghai), Китай</t>
        </is>
      </c>
      <c r="Y45" s="80" t="inlineStr">
        <is>
          <t>✓ Завод совпадает (Китай)</t>
        </is>
      </c>
    </row>
    <row r="46" ht="49.5" customHeight="1" s="64">
      <c r="A46" s="81" t="n">
        <v>45</v>
      </c>
      <c r="B46" s="82" t="inlineStr">
        <is>
          <t>Avito (Краснодар)</t>
        </is>
      </c>
      <c r="C46" s="81" t="n">
        <v>2023</v>
      </c>
      <c r="D46" s="81" t="inlineStr">
        <is>
          <t>н/д</t>
        </is>
      </c>
      <c r="E46" s="82" t="inlineStr">
        <is>
          <t>Performance Berlin</t>
        </is>
      </c>
      <c r="F46" s="81" t="n">
        <v>24000</v>
      </c>
      <c r="G46" s="84" t="inlineStr">
        <is>
          <t>Чёрный</t>
        </is>
      </c>
      <c r="H46" s="84" t="inlineStr">
        <is>
          <t>Чёрный (Tesla базовый)</t>
        </is>
      </c>
      <c r="I46" s="82" t="inlineStr">
        <is>
          <t>б/у отличное</t>
        </is>
      </c>
      <c r="J46" s="81" t="inlineStr">
        <is>
          <t>Нет</t>
        </is>
      </c>
      <c r="K46" s="81" t="inlineStr">
        <is>
          <t>Базовый</t>
        </is>
      </c>
      <c r="L46" s="82" t="inlineStr">
        <is>
          <t>Краснодар</t>
        </is>
      </c>
      <c r="M46" s="83" t="n">
        <v>5790000</v>
      </c>
      <c r="N46" s="83">
        <f>IF(OR(ISNUMBER(SEARCH("Физлицо",O46)),ISNUMBER(SEARCH("Частник",O46))),M46,M46/1.20)</f>
        <v/>
      </c>
      <c r="O46" s="82" t="inlineStr">
        <is>
          <t>Физлицо</t>
        </is>
      </c>
      <c r="P46" s="82" t="inlineStr">
        <is>
          <t>США (после ДТП)</t>
        </is>
      </c>
      <c r="Q46" s="82" t="inlineStr">
        <is>
          <t>—</t>
        </is>
      </c>
      <c r="R46" s="86" t="inlineStr">
        <is>
          <t>https://www.avito.ru/moskva/avtomobili/tesla_model_y_at_2021_39_000_km_3965525550</t>
        </is>
      </c>
      <c r="S46" s="81" t="inlineStr">
        <is>
          <t>Активно</t>
        </is>
      </c>
      <c r="T46" s="82" t="inlineStr">
        <is>
          <t>Не шитый Long Range, родная R21, броня; ВНИМАНИЕ: на Avito 2021 г.в., не 2023. Не попадает под фильтр 2022+. Возможна путаница ноября 2021 (рестайл) с 2023; **ВНИМАНИЕ**: на Авито 2021 ноябрь (рестайл MY22), цена снижена с 4 050 000 до 3 800 000 ₽. **Привезён ПОСЛЕ ДТП**. Москва, Авиационная ул., 77, р-н Щукинская. Частное лицо, 12 отзывов</t>
        </is>
      </c>
      <c r="U46" s="82" t="inlineStr">
        <is>
          <t>Tesla Model Y Perfomance, Американская версия. Год изготовления — 2021 (ноябрь) рестайлинг (двойные стёкла). Привозили после ДТП. ЭПТС получен, утиль уплачен, стоит на учёте в РФ. В комплекте с машиной провод для зарядки, 2 карточки и ключ TESLA (на фото), переходник на разъём CCS2.</t>
        </is>
      </c>
      <c r="V46" s="84" t="inlineStr">
        <is>
          <t>7SAY*** (Texas USA, Giga Texas)</t>
        </is>
      </c>
      <c r="W46" s="72" t="inlineStr">
        <is>
          <t>? (нет полного VIN)</t>
        </is>
      </c>
      <c r="X46" s="72" t="inlineStr">
        <is>
          <t>Austin, Texas (Giga Texas), США</t>
        </is>
      </c>
      <c r="Y46" s="80" t="inlineStr">
        <is>
          <t>✓ Завод совпадает (США)</t>
        </is>
      </c>
    </row>
    <row r="47" ht="49.5" customHeight="1" s="64">
      <c r="A47" s="74" t="n">
        <v>46</v>
      </c>
      <c r="B47" s="72" t="inlineStr">
        <is>
          <t>Avito (Москва)</t>
        </is>
      </c>
      <c r="C47" s="74" t="n">
        <v>2023</v>
      </c>
      <c r="D47" s="74" t="inlineStr">
        <is>
          <t>Ноябрь 2021</t>
        </is>
      </c>
      <c r="E47" s="72" t="inlineStr">
        <is>
          <t>Performance USA Restyling</t>
        </is>
      </c>
      <c r="F47" s="74" t="n">
        <v>39000</v>
      </c>
      <c r="G47" s="84" t="inlineStr">
        <is>
          <t>Белый</t>
        </is>
      </c>
      <c r="H47" s="84" t="inlineStr">
        <is>
          <t>Чёрный (Tesla базовый)</t>
        </is>
      </c>
      <c r="I47" s="72" t="inlineStr">
        <is>
          <t>б/у среднее</t>
        </is>
      </c>
      <c r="J47" s="74" t="inlineStr">
        <is>
          <t>Да (после ДТП)</t>
        </is>
      </c>
      <c r="K47" s="74" t="inlineStr">
        <is>
          <t>Базовый</t>
        </is>
      </c>
      <c r="L47" s="72" t="inlineStr">
        <is>
          <t>Москва</t>
        </is>
      </c>
      <c r="M47" s="75" t="n">
        <v>4050000</v>
      </c>
      <c r="N47" s="70">
        <f>IF(OR(ISNUMBER(SEARCH("Физлицо",O47)),ISNUMBER(SEARCH("Частник",O47))),M47,M47/1.20)</f>
        <v/>
      </c>
      <c r="O47" s="72" t="inlineStr">
        <is>
          <t>Физлицо</t>
        </is>
      </c>
      <c r="P47" s="72" t="inlineStr">
        <is>
          <t>США</t>
        </is>
      </c>
      <c r="Q47" s="72" t="inlineStr">
        <is>
          <t>—</t>
        </is>
      </c>
      <c r="R47" s="71" t="inlineStr">
        <is>
          <t>https://www.avito.ru/moskva/avtomobili/tesla_model_y_at_2022_29_000_km_4316459576</t>
        </is>
      </c>
      <c r="S47" s="74" t="inlineStr">
        <is>
          <t>Активно</t>
        </is>
      </c>
      <c r="T47" s="72" t="inlineStr">
        <is>
          <t>Привозили после ДТП, восстановлен. ЭПТС, утиль, учёт РФ; Москва, Мичуринский пр-т. Продавец Tesla (частное лицо), 1 отзыв, на Авито с 2022. 2 объявления у продавца</t>
        </is>
      </c>
      <c r="U47" s="72" t="inlineStr">
        <is>
          <t>Tesla Model Y Performance 2022, американская версия. Честно говоря, эту машину сложно описывать словами, её нужно почувствовать. Нажимаешь педаль и тебя уносит в даль. Без звука мотора, без паузы, просто мгновенно. После этого обычные машины начинают казаться скучными. Из практичного: автопилот реально разгружает в пробках и на трассе, экран управляет всем, от климата до музыки. Заряда хватает на 400+ км, а американские комплектации традиционно богаче европейских. Если давно присматривались к Tesla — пишите, расскажу подробнее. К лету сделано ТО, поменяны фильтры. Цена без торга.</t>
        </is>
      </c>
      <c r="V47" s="84" t="inlineStr">
        <is>
          <t>7SAY*** (Texas USA, Giga Texas)</t>
        </is>
      </c>
      <c r="W47" s="72" t="inlineStr">
        <is>
          <t>? (нет полного VIN)</t>
        </is>
      </c>
      <c r="X47" s="72" t="inlineStr">
        <is>
          <t>Austin, Texas (Giga Texas), США</t>
        </is>
      </c>
      <c r="Y47" s="80" t="inlineStr">
        <is>
          <t>✓ Завод совпадает (США)</t>
        </is>
      </c>
    </row>
    <row r="48" ht="49.5" customHeight="1" s="64">
      <c r="A48" s="77" t="n">
        <v>47</v>
      </c>
      <c r="B48" s="78" t="inlineStr">
        <is>
          <t>Avito (Москва, Tesla)</t>
        </is>
      </c>
      <c r="C48" s="77" t="n">
        <v>2022</v>
      </c>
      <c r="D48" s="77" t="inlineStr">
        <is>
          <t>н/д</t>
        </is>
      </c>
      <c r="E48" s="78" t="inlineStr">
        <is>
          <t>Performance USA</t>
        </is>
      </c>
      <c r="F48" s="77" t="n">
        <v>29000</v>
      </c>
      <c r="G48" s="78" t="inlineStr">
        <is>
          <t>н/д</t>
        </is>
      </c>
      <c r="H48" s="78" t="inlineStr">
        <is>
          <t>н/д</t>
        </is>
      </c>
      <c r="I48" s="78" t="inlineStr">
        <is>
          <t>б/у отличное</t>
        </is>
      </c>
      <c r="J48" s="77" t="inlineStr">
        <is>
          <t>Нет</t>
        </is>
      </c>
      <c r="K48" s="77" t="inlineStr">
        <is>
          <t>Базовый</t>
        </is>
      </c>
      <c r="L48" s="78" t="inlineStr">
        <is>
          <t>Москва</t>
        </is>
      </c>
      <c r="M48" s="79" t="n">
        <v>4290000</v>
      </c>
      <c r="N48" s="70">
        <f>IF(OR(ISNUMBER(SEARCH("Физлицо",O48)),ISNUMBER(SEARCH("Частник",O48))),M48,M48/1.20)</f>
        <v/>
      </c>
      <c r="O48" s="78" t="inlineStr">
        <is>
          <t>Юрлицо: Tesla</t>
        </is>
      </c>
      <c r="P48" s="78" t="inlineStr">
        <is>
          <t>США</t>
        </is>
      </c>
      <c r="Q48" s="78" t="inlineStr">
        <is>
          <t>Tesla</t>
        </is>
      </c>
      <c r="R48" s="71" t="inlineStr">
        <is>
          <t>https://www.avito.ru/all/avtomobili/tesla/model_y-ASgBAgICAkTgtg2umSjitg22qTo?cd=1&amp;s=104</t>
        </is>
      </c>
      <c r="S48" s="77" t="inlineStr">
        <is>
          <t>Активно</t>
        </is>
      </c>
      <c r="T48" s="78" t="inlineStr">
        <is>
          <t>Американская версия Performance</t>
        </is>
      </c>
      <c r="U48" s="78" t="inlineStr">
        <is>
          <t>Авто в отличном состоянии, полностью обслужено, без технических проблем. Полный привод, Long Range. 3 ряда сидений. Сертификаты актуальные. Эксплуатация — Сочи. Рассмотрю варианты обмена. Сочи (пгт. Сириус).</t>
        </is>
      </c>
      <c r="V48" s="72" t="inlineStr">
        <is>
          <t>—</t>
        </is>
      </c>
      <c r="W48" s="72" t="inlineStr">
        <is>
          <t>—</t>
        </is>
      </c>
      <c r="X48" s="72" t="inlineStr">
        <is>
          <t>—</t>
        </is>
      </c>
      <c r="Y48" s="73" t="inlineStr">
        <is>
          <t>— нет VIN для проверки</t>
        </is>
      </c>
    </row>
    <row r="49" ht="49.5" customHeight="1" s="64">
      <c r="A49" s="74" t="n">
        <v>48</v>
      </c>
      <c r="B49" s="72" t="inlineStr">
        <is>
          <t>Avito (Подольск)</t>
        </is>
      </c>
      <c r="C49" s="74" t="n">
        <v>2022</v>
      </c>
      <c r="D49" s="74" t="inlineStr">
        <is>
          <t>н/д</t>
        </is>
      </c>
      <c r="E49" s="72" t="inlineStr">
        <is>
          <t>Long Range AWD</t>
        </is>
      </c>
      <c r="F49" s="74" t="n">
        <v>30000</v>
      </c>
      <c r="G49" s="72" t="inlineStr">
        <is>
          <t>синий</t>
        </is>
      </c>
      <c r="H49" s="84" t="inlineStr">
        <is>
          <t>Чёрный (Tesla базовый)</t>
        </is>
      </c>
      <c r="I49" s="72" t="inlineStr">
        <is>
          <t>б/у отличное</t>
        </is>
      </c>
      <c r="J49" s="74" t="inlineStr">
        <is>
          <t>Нет</t>
        </is>
      </c>
      <c r="K49" s="74" t="inlineStr">
        <is>
          <t>Базовый</t>
        </is>
      </c>
      <c r="L49" s="72" t="inlineStr">
        <is>
          <t>Подольск</t>
        </is>
      </c>
      <c r="M49" s="75" t="n">
        <v>4100000</v>
      </c>
      <c r="N49" s="70">
        <f>IF(OR(ISNUMBER(SEARCH("Физлицо",O49)),ISNUMBER(SEARCH("Частник",O49))),M49,M49/1.20)</f>
        <v/>
      </c>
      <c r="O49" s="72" t="inlineStr">
        <is>
          <t>Физлицо</t>
        </is>
      </c>
      <c r="P49" s="72" t="inlineStr">
        <is>
          <t>США (VIN 7SAY)</t>
        </is>
      </c>
      <c r="Q49" s="72" t="inlineStr">
        <is>
          <t>—</t>
        </is>
      </c>
      <c r="R49" s="71" t="inlineStr">
        <is>
          <t>https://www.avito.ru/sochi/avtomobili/tesla_model_y_at_2022_60_000_km_8052813749</t>
        </is>
      </c>
      <c r="S49" s="74" t="inlineStr">
        <is>
          <t>Активно</t>
        </is>
      </c>
      <c r="T49" s="72" t="inlineStr">
        <is>
          <t>Из США, без пробега по РФ, на учёте; Состояние: Не битый. ПТС электронный, 2 владельца, ВИН 7SAY (Giga Texas, США), обмен возможен</t>
        </is>
      </c>
      <c r="U49" s="72" t="inlineStr">
        <is>
          <t>Авто в отличном состоянии, полностью обслужена, без технических проблем. Полный привод, long range. 3 ряда сидений. Сертификаты актуальные. Эксплуатация — Сочи. Рассмотрю варианты обмена.</t>
        </is>
      </c>
      <c r="V49" s="84" t="inlineStr">
        <is>
          <t>7SAY*** (Texas USA, Giga Texas)</t>
        </is>
      </c>
      <c r="W49" s="72" t="inlineStr">
        <is>
          <t>? (нет полного VIN)</t>
        </is>
      </c>
      <c r="X49" s="72" t="inlineStr">
        <is>
          <t>Austin, Texas (Giga Texas), США</t>
        </is>
      </c>
      <c r="Y49" s="80" t="inlineStr">
        <is>
          <t>✓ Завод совпадает (США)</t>
        </is>
      </c>
    </row>
    <row r="50" ht="49.5" customHeight="1" s="64">
      <c r="A50" s="77" t="n">
        <v>49</v>
      </c>
      <c r="B50" s="78" t="inlineStr">
        <is>
          <t>Avito (Сочи/Сириус)</t>
        </is>
      </c>
      <c r="C50" s="77" t="n">
        <v>2022</v>
      </c>
      <c r="D50" s="77" t="inlineStr">
        <is>
          <t>н/д</t>
        </is>
      </c>
      <c r="E50" s="78" t="inlineStr">
        <is>
          <t>Long Range AWD 7-местная</t>
        </is>
      </c>
      <c r="F50" s="77" t="n">
        <v>60000</v>
      </c>
      <c r="G50" s="78" t="inlineStr">
        <is>
          <t>н/д</t>
        </is>
      </c>
      <c r="H50" s="78" t="inlineStr">
        <is>
          <t>н/д</t>
        </is>
      </c>
      <c r="I50" s="78" t="inlineStr">
        <is>
          <t>б/у отличное</t>
        </is>
      </c>
      <c r="J50" s="77" t="inlineStr">
        <is>
          <t>Нет</t>
        </is>
      </c>
      <c r="K50" s="77" t="inlineStr">
        <is>
          <t>Базовый</t>
        </is>
      </c>
      <c r="L50" s="78" t="inlineStr">
        <is>
          <t>Сочи (пгт. Сириус)</t>
        </is>
      </c>
      <c r="M50" s="79" t="n">
        <v>3750000</v>
      </c>
      <c r="N50" s="70">
        <f>IF(OR(ISNUMBER(SEARCH("Физлицо",O50)),ISNUMBER(SEARCH("Частник",O50))),M50,M50/1.20)</f>
        <v/>
      </c>
      <c r="O50" s="78" t="inlineStr">
        <is>
          <t>Физлицо</t>
        </is>
      </c>
      <c r="P50" s="78" t="inlineStr">
        <is>
          <t>Германия (Берлин)</t>
        </is>
      </c>
      <c r="Q50" s="78" t="inlineStr">
        <is>
          <t>—</t>
        </is>
      </c>
      <c r="R50" s="71" t="inlineStr">
        <is>
          <t>https://www.avito.ru/moskva/avtomobili/tesla_model_y_at_2022_48_000_km_8079671471</t>
        </is>
      </c>
      <c r="S50" s="77" t="inlineStr">
        <is>
          <t>Активно</t>
        </is>
      </c>
      <c r="T50" s="78" t="inlineStr">
        <is>
          <t>Long Range, 3 ряда сидений (7 мест), сертификаты актуальные; Москва, 2-й Мосфильмовский пер. Частное лицо.</t>
        </is>
      </c>
      <c r="U50" s="78" t="inlineStr">
        <is>
          <t>Европеец, привезён новым из Германии в январе 2023. Без ДТП, крашеных деталей нет. Передняя часть кузова, крылья, капот и бампер в плёнке. Пошиты индивидуальные ковры салона. Комплект зимней резины на оригинальных дисках R20. Комплект летней резины на оригинальных дисках R21. В подарок новая, оригинальная зарядка Wall Connector. Хранилась в подземном паркинге.</t>
        </is>
      </c>
      <c r="V50" s="72" t="inlineStr">
        <is>
          <t>—</t>
        </is>
      </c>
      <c r="W50" s="72" t="inlineStr">
        <is>
          <t>—</t>
        </is>
      </c>
      <c r="X50" s="72" t="inlineStr">
        <is>
          <t>—</t>
        </is>
      </c>
      <c r="Y50" s="73" t="inlineStr">
        <is>
          <t>— нет VIN для проверки</t>
        </is>
      </c>
    </row>
    <row r="51" ht="49.5" customHeight="1" s="64">
      <c r="A51" s="74" t="n">
        <v>50</v>
      </c>
      <c r="B51" s="72" t="inlineStr">
        <is>
          <t>Avito (Москва, физлицо)</t>
        </is>
      </c>
      <c r="C51" s="74" t="n">
        <v>2022</v>
      </c>
      <c r="D51" s="74" t="inlineStr">
        <is>
          <t>Январь 2023</t>
        </is>
      </c>
      <c r="E51" s="84" t="inlineStr">
        <is>
          <t>Performance Ultra Red</t>
        </is>
      </c>
      <c r="F51" s="74" t="n">
        <v>48000</v>
      </c>
      <c r="G51" s="72" t="inlineStr">
        <is>
          <t>Ultra Red</t>
        </is>
      </c>
      <c r="H51" s="84" t="inlineStr">
        <is>
          <t>Чёрный (Tesla базовый)</t>
        </is>
      </c>
      <c r="I51" s="72" t="inlineStr">
        <is>
          <t>б/у отличное</t>
        </is>
      </c>
      <c r="J51" s="74" t="inlineStr">
        <is>
          <t>Нет</t>
        </is>
      </c>
      <c r="K51" s="74" t="inlineStr">
        <is>
          <t>Базовый</t>
        </is>
      </c>
      <c r="L51" s="72" t="inlineStr">
        <is>
          <t>Москва</t>
        </is>
      </c>
      <c r="M51" s="75" t="n">
        <v>4490000</v>
      </c>
      <c r="N51" s="70">
        <f>IF(OR(ISNUMBER(SEARCH("Физлицо",O51)),ISNUMBER(SEARCH("Частник",O51))),M51,M51/1.20)</f>
        <v/>
      </c>
      <c r="O51" s="72" t="inlineStr">
        <is>
          <t>Физлицо</t>
        </is>
      </c>
      <c r="P51" s="72" t="inlineStr">
        <is>
          <t>США (через РБ)</t>
        </is>
      </c>
      <c r="Q51" s="72" t="inlineStr">
        <is>
          <t>—</t>
        </is>
      </c>
      <c r="R51" s="71" t="inlineStr">
        <is>
          <t>https://www.avito.ru/kaliningrad/avtomobili/tesla_model_y_at_2022_59_600_km_8104912278</t>
        </is>
      </c>
      <c r="S51" s="74" t="inlineStr">
        <is>
          <t>Активно</t>
        </is>
      </c>
      <c r="T51" s="72" t="inlineStr">
        <is>
          <t>Привезён новым из Германии январь 2023, без ДТП, бронепленка, 2 компл. резины; Дилер END (Калининград). FSD полный пакет, AMD Ryzen, тепловой насос. РБ-учёт; ⚠ ИСПРАВЛЕНО (валидация 21.05.26): модификация изменена с Long Range на Performance — описание явно указывает 534 л.с. и Performance (было: «Long Range AWD Германия»)</t>
        </is>
      </c>
      <c r="U51" s="72" t="inlineStr">
        <is>
          <t>Tesla Y Performance в Ultra Red цвете. Максимальная комплектация. 534 л.с. Разгон до 100 за 3.7 с. Стоят 21" разноширокие оригинальные диски. Шины Michelin. Компьютер с самым мощным и последним процессором Ryzen, полный автопилот FSD. Тепловой насос, двойные стёкла, быстрая зарядка CCS2, sim-карта, приложение с полным управлением с мобильного телефона. Сертификаты рабочие — машина обновляется, премиум музыка, матричный свет. 2 комплекта резины. Пройдено полное ТО: поменяны все жидкости и фильтра, дорогой и качественный антикор. Машина покупалась с минимальными повреждениями в США, сделан качественный ремонт (оригинальные запчасти). VIN по запросу скину. РБ учёт (можно ездить в РФ спокойно) — продажа по ДКП + ген. доверенность! Ещё вариант через товарища за ₽ сделать ВНЖ РБ и оформить на себя. Либо находите знакомых/родственников в РБ, оформляйте машину и катайтесь на бел. регистрации без уплаты утилей/НДС/пошлин и т.д.</t>
        </is>
      </c>
      <c r="V51" s="84" t="inlineStr">
        <is>
          <t>7SAY*** (Texas USA, Giga Texas — НЕ Германия!)</t>
        </is>
      </c>
      <c r="W51" s="72" t="inlineStr">
        <is>
          <t>? (нет полного VIN)</t>
        </is>
      </c>
      <c r="X51" s="72" t="inlineStr">
        <is>
          <t>Austin, Texas (Giga Texas), США</t>
        </is>
      </c>
      <c r="Y51" s="80" t="inlineStr">
        <is>
          <t>✓ Завод совпадает (США)</t>
        </is>
      </c>
    </row>
    <row r="52" ht="49.5" customHeight="1" s="64">
      <c r="A52" s="77" t="n">
        <v>51</v>
      </c>
      <c r="B52" s="78" t="inlineStr">
        <is>
          <t>Avito (Калининград, END)</t>
        </is>
      </c>
      <c r="C52" s="77" t="n">
        <v>2022</v>
      </c>
      <c r="D52" s="77" t="inlineStr">
        <is>
          <t>н/д</t>
        </is>
      </c>
      <c r="E52" s="78" t="inlineStr">
        <is>
          <t>Performance Ultra Red</t>
        </is>
      </c>
      <c r="F52" s="77" t="n">
        <v>59600</v>
      </c>
      <c r="G52" s="78" t="inlineStr">
        <is>
          <t>красный</t>
        </is>
      </c>
      <c r="H52" s="84" t="inlineStr">
        <is>
          <t>Чёрный (Tesla базовый)</t>
        </is>
      </c>
      <c r="I52" s="78" t="inlineStr">
        <is>
          <t>б/у отличное</t>
        </is>
      </c>
      <c r="J52" s="77" t="inlineStr">
        <is>
          <t>Нет</t>
        </is>
      </c>
      <c r="K52" s="77" t="inlineStr">
        <is>
          <t>Полный FSD</t>
        </is>
      </c>
      <c r="L52" s="78" t="inlineStr">
        <is>
          <t>Калининград</t>
        </is>
      </c>
      <c r="M52" s="79" t="n">
        <v>2630000</v>
      </c>
      <c r="N52" s="70">
        <f>IF(OR(ISNUMBER(SEARCH("Физлицо",O52)),ISNUMBER(SEARCH("Частник",O52))),M52,M52/1.20)</f>
        <v/>
      </c>
      <c r="O52" s="78" t="inlineStr">
        <is>
          <t>Юрлицо: END</t>
        </is>
      </c>
      <c r="P52" s="78" t="inlineStr">
        <is>
          <t>Китай (Шанхай, VIN LRWY)</t>
        </is>
      </c>
      <c r="Q52" s="78" t="inlineStr">
        <is>
          <t>END</t>
        </is>
      </c>
      <c r="R52" s="71" t="inlineStr">
        <is>
          <t>https://www.avito.ru/kazan/avtomobili/tesla_model_y_at_2022_25_000_km_8052504546</t>
        </is>
      </c>
      <c r="S52" s="77" t="inlineStr">
        <is>
          <t>Активно</t>
        </is>
      </c>
      <c r="T52" s="78" t="inlineStr">
        <is>
          <t>Максимальная комплектация, 534 л.с., 3.7 сек, FSD, AMD Ryzen, тепловой насос; AWD Performance, ВИН LRWY (Шанхай), 1 владелец, не битый, комплектация Базовая. Контакт: Айдар (Батыр Авто)</t>
        </is>
      </c>
      <c r="U52" s="78" t="inlineStr">
        <is>
          <t>Добро пожаловать на страницу Автосалона Батыр Авто. У нас вы можете купить автомобили не только по наличию что указаны на сайте, но и под заказ, из Кореи, Китая, Европы. Купить автомобиль в кредит, лизинг, и сдать свой в Trade In. Принимаем автомобили на комиссионную продажу с минимальной комиссией от 1%.</t>
        </is>
      </c>
      <c r="V52" s="84" t="inlineStr">
        <is>
          <t>LRWY*** (Shanghai, Китай)</t>
        </is>
      </c>
      <c r="W52" s="72" t="inlineStr">
        <is>
          <t>? (нет полного VIN)</t>
        </is>
      </c>
      <c r="X52" s="72" t="inlineStr">
        <is>
          <t>Shanghai (Giga Shanghai), Китай</t>
        </is>
      </c>
      <c r="Y52" s="80" t="inlineStr">
        <is>
          <t>✓ Завод совпадает (Китай)</t>
        </is>
      </c>
    </row>
    <row r="53" ht="49.5" customHeight="1" s="64">
      <c r="A53" s="74" t="n">
        <v>52</v>
      </c>
      <c r="B53" s="72" t="inlineStr">
        <is>
          <t>Avito (Казань, Батыр Авто)</t>
        </is>
      </c>
      <c r="C53" s="74" t="n">
        <v>2022</v>
      </c>
      <c r="D53" s="74" t="inlineStr">
        <is>
          <t>н/д</t>
        </is>
      </c>
      <c r="E53" s="84" t="inlineStr">
        <is>
          <t>Performance</t>
        </is>
      </c>
      <c r="F53" s="74" t="n">
        <v>25000</v>
      </c>
      <c r="G53" s="72" t="inlineStr">
        <is>
          <t>чёрный</t>
        </is>
      </c>
      <c r="H53" s="84" t="inlineStr">
        <is>
          <t>Чёрный (Tesla базовый)</t>
        </is>
      </c>
      <c r="I53" s="72" t="inlineStr">
        <is>
          <t>б/у отличное</t>
        </is>
      </c>
      <c r="J53" s="74" t="inlineStr">
        <is>
          <t>Нет</t>
        </is>
      </c>
      <c r="K53" s="74" t="inlineStr">
        <is>
          <t>Базовый</t>
        </is>
      </c>
      <c r="L53" s="72" t="inlineStr">
        <is>
          <t>Казань</t>
        </is>
      </c>
      <c r="M53" s="75" t="n">
        <v>4350000</v>
      </c>
      <c r="N53" s="70">
        <f>IF(OR(ISNUMBER(SEARCH("Физлицо",O53)),ISNUMBER(SEARCH("Частник",O53))),M53,M53/1.20)</f>
        <v/>
      </c>
      <c r="O53" s="72" t="inlineStr">
        <is>
          <t>Юрлицо: Батыр Авто</t>
        </is>
      </c>
      <c r="P53" s="72" t="inlineStr">
        <is>
          <t>EU</t>
        </is>
      </c>
      <c r="Q53" s="72" t="inlineStr">
        <is>
          <t>Батыр Авто</t>
        </is>
      </c>
      <c r="R53" s="71" t="inlineStr">
        <is>
          <t>https://www.avito.ru/kostroma/avtomobili/tesla_model_y_at_2022_53_100_km_8173710409</t>
        </is>
      </c>
      <c r="S53" s="74" t="inlineStr">
        <is>
          <t>Активно</t>
        </is>
      </c>
      <c r="T53" s="72" t="inlineStr">
        <is>
          <t>1 владелец, автосалон, кредит/лизинг/Trade-in; Кострома, дилер Remaxx (4,8 из 5, 17 отзывов). 530 л.с. Performance, плёнка; ⚠ ИСПРАВЛЕНО (валидация 21.05.26): модификация изменена с Long Range на Performance — описание явно указывает 534 л.с. и Performance (было: «Long Range AWD»)</t>
        </is>
      </c>
      <c r="U53" s="72" t="inlineStr">
        <is>
          <t>Tesla Y Performance 530 л/с (в ПТС 203 л/с). Заменена резина на оригинальных дисках. Перед и зоны риска в плёнке. Чёрный на чёрном. В отличном состоянии.</t>
        </is>
      </c>
      <c r="V53" s="84" t="inlineStr">
        <is>
          <t>—</t>
        </is>
      </c>
      <c r="W53" s="72" t="inlineStr">
        <is>
          <t>—</t>
        </is>
      </c>
      <c r="X53" s="72" t="inlineStr">
        <is>
          <t>—</t>
        </is>
      </c>
      <c r="Y53" s="73" t="inlineStr">
        <is>
          <t>— нет VIN для проверки</t>
        </is>
      </c>
    </row>
    <row r="54" ht="49.5" customHeight="1" s="64">
      <c r="A54" s="77" t="n">
        <v>53</v>
      </c>
      <c r="B54" s="78" t="inlineStr">
        <is>
          <t>Avito (Кострома, Remaxx)</t>
        </is>
      </c>
      <c r="C54" s="77" t="n">
        <v>2022</v>
      </c>
      <c r="D54" s="77" t="inlineStr">
        <is>
          <t>н/д</t>
        </is>
      </c>
      <c r="E54" s="78" t="inlineStr">
        <is>
          <t>Performance</t>
        </is>
      </c>
      <c r="F54" s="77" t="n">
        <v>53100</v>
      </c>
      <c r="G54" s="78" t="inlineStr">
        <is>
          <t>серый</t>
        </is>
      </c>
      <c r="H54" s="78" t="inlineStr">
        <is>
          <t>чёрный</t>
        </is>
      </c>
      <c r="I54" s="78" t="inlineStr">
        <is>
          <t>б/у отличное</t>
        </is>
      </c>
      <c r="J54" s="77" t="inlineStr">
        <is>
          <t>Нет</t>
        </is>
      </c>
      <c r="K54" s="77" t="inlineStr">
        <is>
          <t>Базовый</t>
        </is>
      </c>
      <c r="L54" s="78" t="inlineStr">
        <is>
          <t>Кострома</t>
        </is>
      </c>
      <c r="M54" s="79" t="n">
        <v>4440000</v>
      </c>
      <c r="N54" s="70">
        <f>IF(OR(ISNUMBER(SEARCH("Физлицо",O54)),ISNUMBER(SEARCH("Частник",O54))),M54,M54/1.20)</f>
        <v/>
      </c>
      <c r="O54" s="78" t="inlineStr">
        <is>
          <t>Юрлицо: Remaxx</t>
        </is>
      </c>
      <c r="P54" s="78" t="inlineStr">
        <is>
          <t>США (VIN 7SAY)</t>
        </is>
      </c>
      <c r="Q54" s="78" t="inlineStr">
        <is>
          <t>Remaxx</t>
        </is>
      </c>
      <c r="R54" s="71" t="inlineStr">
        <is>
          <t>https://www.avito.ru/moskva/avtomobili/tesla_model_y_at_2022_63_000_km_8099221503</t>
        </is>
      </c>
      <c r="S54" s="77" t="inlineStr">
        <is>
          <t>Активно</t>
        </is>
      </c>
      <c r="T54" s="78" t="inlineStr">
        <is>
          <t>530 л.с. (203 в ПТС), резина на оригинале, броня; Москва, Куркино, СЗАО. ВИН 7SAY (Texas), не битый, 1 владелец по ПТС, Long Performance AWD. Скидка: с 4 900 000 до 4 400 000</t>
        </is>
      </c>
      <c r="U54" s="78" t="inlineStr">
        <is>
          <t>Model Y performance USA. Покупалась новой в июле 2023 года. Ввезена в Россию весной 2023 года. В одних руках, в отличном состоянии. Есть небольшие потёртости и царапинки на кузове. Была немного притёрта в пробке — в связи локальный окрас правого крыла (фото по запросу). Замена фильтров и масла в редукторах каждые 20 000 км. Комплект зимней резины на дисках. Приобретена была на юр. лицо, без лизинга, с полной оплатой. Через год примерно переоформлена на физлицо. Фактически у одного владельца. Салоны, перекупщиков, ставить на комиссию прошу не беспокоить.</t>
        </is>
      </c>
      <c r="V54" s="72" t="inlineStr">
        <is>
          <t>7SAY*** (Giga Texas (США))</t>
        </is>
      </c>
      <c r="W54" s="72" t="inlineStr">
        <is>
          <t>? (нет полного VIN)</t>
        </is>
      </c>
      <c r="X54" s="72" t="inlineStr">
        <is>
          <t>Austin, Texas (Giga Texas), США</t>
        </is>
      </c>
      <c r="Y54" s="80" t="inlineStr">
        <is>
          <t>✓ Завод совпадает (США)</t>
        </is>
      </c>
    </row>
    <row r="55" ht="49.5" customHeight="1" s="64">
      <c r="A55" s="74" t="n">
        <v>54</v>
      </c>
      <c r="B55" s="72" t="inlineStr">
        <is>
          <t>Avito (Москва)</t>
        </is>
      </c>
      <c r="C55" s="74" t="n">
        <v>2022</v>
      </c>
      <c r="D55" s="74" t="inlineStr">
        <is>
          <t>Июль 2023</t>
        </is>
      </c>
      <c r="E55" s="72" t="inlineStr">
        <is>
          <t>Performance USA</t>
        </is>
      </c>
      <c r="F55" s="74" t="n">
        <v>63000</v>
      </c>
      <c r="G55" s="72" t="inlineStr">
        <is>
          <t>н/д</t>
        </is>
      </c>
      <c r="H55" s="72" t="inlineStr">
        <is>
          <t>н/д</t>
        </is>
      </c>
      <c r="I55" s="72" t="inlineStr">
        <is>
          <t>б/у хорошее</t>
        </is>
      </c>
      <c r="J55" s="74" t="inlineStr">
        <is>
          <t>Да (мелкие)</t>
        </is>
      </c>
      <c r="K55" s="74" t="inlineStr">
        <is>
          <t>Базовый</t>
        </is>
      </c>
      <c r="L55" s="72" t="inlineStr">
        <is>
          <t>Москва</t>
        </is>
      </c>
      <c r="M55" s="75" t="n">
        <v>4400000</v>
      </c>
      <c r="N55" s="70">
        <f>IF(OR(ISNUMBER(SEARCH("Физлицо",O55)),ISNUMBER(SEARCH("Частник",O55))),M55,M55/1.20)</f>
        <v/>
      </c>
      <c r="O55" s="72" t="inlineStr">
        <is>
          <t>Физлицо</t>
        </is>
      </c>
      <c r="P55" s="72" t="inlineStr">
        <is>
          <t>США</t>
        </is>
      </c>
      <c r="Q55" s="72" t="inlineStr">
        <is>
          <t>—</t>
        </is>
      </c>
      <c r="R55" s="71" t="inlineStr">
        <is>
          <t>https://www.avito.ru/all/avtomobili/tesla/model_y-ASgBAgICAkTgtg2umSjitg22qTo?cd=1&amp;s=104</t>
        </is>
      </c>
      <c r="S55" s="74" t="inlineStr">
        <is>
          <t>Активно</t>
        </is>
      </c>
      <c r="T55" s="72" t="inlineStr">
        <is>
          <t>Покупалась новой в июле 2023. Локальный окрас правого крыла</t>
        </is>
      </c>
      <c r="U55" s="72" t="inlineStr">
        <is>
          <t>Машина супруги. Фары оклеены бронепленкой, установлены доводчики на все двери, сделана шумоизоляция. Пробег честный. ДТП не было. Завод Шанхай. Привозили новой для себя. Москва.</t>
        </is>
      </c>
      <c r="V55" s="72" t="inlineStr">
        <is>
          <t>—</t>
        </is>
      </c>
      <c r="W55" s="72" t="inlineStr">
        <is>
          <t>—</t>
        </is>
      </c>
      <c r="X55" s="72" t="inlineStr">
        <is>
          <t>—</t>
        </is>
      </c>
      <c r="Y55" s="73" t="inlineStr">
        <is>
          <t>— нет VIN для проверки</t>
        </is>
      </c>
    </row>
    <row r="56" ht="49.5" customHeight="1" s="64">
      <c r="A56" s="77" t="n">
        <v>55</v>
      </c>
      <c r="B56" s="78" t="inlineStr">
        <is>
          <t>Avito (Москва)</t>
        </is>
      </c>
      <c r="C56" s="77" t="n">
        <v>2022</v>
      </c>
      <c r="D56" s="77" t="inlineStr">
        <is>
          <t>Дек 2022</t>
        </is>
      </c>
      <c r="E56" s="78" t="inlineStr">
        <is>
          <t>Long Range AWD Europe</t>
        </is>
      </c>
      <c r="F56" s="77" t="n">
        <v>76744</v>
      </c>
      <c r="G56" s="78" t="inlineStr">
        <is>
          <t>н/д</t>
        </is>
      </c>
      <c r="H56" s="78" t="inlineStr">
        <is>
          <t>н/д</t>
        </is>
      </c>
      <c r="I56" s="78" t="inlineStr">
        <is>
          <t>б/у отличное</t>
        </is>
      </c>
      <c r="J56" s="77" t="inlineStr">
        <is>
          <t>Нет</t>
        </is>
      </c>
      <c r="K56" s="77" t="inlineStr">
        <is>
          <t>Базовый</t>
        </is>
      </c>
      <c r="L56" s="78" t="inlineStr">
        <is>
          <t>Москва</t>
        </is>
      </c>
      <c r="M56" s="79" t="n">
        <v>3550000</v>
      </c>
      <c r="N56" s="70">
        <f>IF(OR(ISNUMBER(SEARCH("Физлицо",O56)),ISNUMBER(SEARCH("Частник",O56))),M56,M56/1.20)</f>
        <v/>
      </c>
      <c r="O56" s="78" t="inlineStr">
        <is>
          <t>Физлицо</t>
        </is>
      </c>
      <c r="P56" s="78" t="inlineStr">
        <is>
          <t>Европа</t>
        </is>
      </c>
      <c r="Q56" s="78" t="inlineStr">
        <is>
          <t>—</t>
        </is>
      </c>
      <c r="R56" s="71" t="inlineStr">
        <is>
          <t>https://www.avito.ru/all/avtomobili/tesla/model_y-ASgBAgICAkTgtg2umSjitg22qTo?cd=1&amp;s=104</t>
        </is>
      </c>
      <c r="S56" s="77" t="inlineStr">
        <is>
          <t>Активно</t>
        </is>
      </c>
      <c r="T56" s="78" t="inlineStr">
        <is>
          <t>Учёт РФ, производство 12.2022, AMD Ryzen, приложение работает</t>
        </is>
      </c>
      <c r="U56" s="78" t="inlineStr">
        <is>
          <t>Продаю самый прекрасный авто в моей жизни. Да, это Тесла, всё, что вы о ней слышали хорошего — это правда. Динамика, управление, простота использования, технологии. Тольятти, Дмитрий.</t>
        </is>
      </c>
      <c r="V56" s="72" t="inlineStr">
        <is>
          <t>—</t>
        </is>
      </c>
      <c r="W56" s="72" t="inlineStr">
        <is>
          <t>—</t>
        </is>
      </c>
      <c r="X56" s="72" t="inlineStr">
        <is>
          <t>—</t>
        </is>
      </c>
      <c r="Y56" s="73" t="inlineStr">
        <is>
          <t>— нет VIN для проверки</t>
        </is>
      </c>
    </row>
    <row r="57" ht="49.5" customHeight="1" s="64">
      <c r="A57" s="74" t="n">
        <v>56</v>
      </c>
      <c r="B57" s="72" t="inlineStr">
        <is>
          <t>Avito (Москва)</t>
        </is>
      </c>
      <c r="C57" s="74" t="n">
        <v>2022</v>
      </c>
      <c r="D57" s="74" t="inlineStr">
        <is>
          <t>н/д</t>
        </is>
      </c>
      <c r="E57" s="72" t="inlineStr">
        <is>
          <t>Long Range AWD Shanghai</t>
        </is>
      </c>
      <c r="F57" s="74" t="n">
        <v>21000</v>
      </c>
      <c r="G57" s="84" t="inlineStr">
        <is>
          <t>Чёрный</t>
        </is>
      </c>
      <c r="H57" s="84" t="inlineStr">
        <is>
          <t>Чёрный (Tesla базовый)</t>
        </is>
      </c>
      <c r="I57" s="72" t="inlineStr">
        <is>
          <t>б/у отличное</t>
        </is>
      </c>
      <c r="J57" s="74" t="inlineStr">
        <is>
          <t>Нет</t>
        </is>
      </c>
      <c r="K57" s="74" t="inlineStr">
        <is>
          <t>Базовый</t>
        </is>
      </c>
      <c r="L57" s="72" t="inlineStr">
        <is>
          <t>Москва</t>
        </is>
      </c>
      <c r="M57" s="75" t="n">
        <v>4200000</v>
      </c>
      <c r="N57" s="70">
        <f>IF(OR(ISNUMBER(SEARCH("Физлицо",O57)),ISNUMBER(SEARCH("Частник",O57))),M57,M57/1.20)</f>
        <v/>
      </c>
      <c r="O57" s="72" t="inlineStr">
        <is>
          <t>Физлицо</t>
        </is>
      </c>
      <c r="P57" s="72" t="inlineStr">
        <is>
          <t>Китай (Шанхай)</t>
        </is>
      </c>
      <c r="Q57" s="72" t="inlineStr">
        <is>
          <t>—</t>
        </is>
      </c>
      <c r="R57" s="71" t="inlineStr">
        <is>
          <t>https://www.avito.ru/tolyatti/avtomobili/tesla_model_y_at_2022_83_000_km_8066700933</t>
        </is>
      </c>
      <c r="S57" s="74" t="inlineStr">
        <is>
          <t>Активно</t>
        </is>
      </c>
      <c r="T57" s="72" t="inlineStr">
        <is>
          <t>Машина супруги, бронепленка фар, доводчики, шумоизоляция; Оценка нейросети 3 986 000 ± 390 000 ₽ (цена объявления 4 000 000)</t>
        </is>
      </c>
      <c r="U57" s="72" t="inlineStr">
        <is>
          <t>Продаю самый прекрасный авто в моей жизни. Да, это Тесла, всё, что вы о ней слышали хорошего, — это правда. Динамика, управление, простота использования, технологии, полный привод и ничего лишнего в салоне. На дороге на Вас будут оборачиваться. Тольятти, Тополиная ул., 4Б, р-н Автозаводский. Дмитрий, частное лицо, на Авито с 2022 года, 47 отзывов.</t>
        </is>
      </c>
      <c r="V57" s="84" t="inlineStr">
        <is>
          <t>LRWY*** (Giga Shanghai (Китай))</t>
        </is>
      </c>
      <c r="W57" s="72" t="inlineStr">
        <is>
          <t>? (нет полного VIN)</t>
        </is>
      </c>
      <c r="X57" s="72" t="inlineStr">
        <is>
          <t>Shanghai (Giga Shanghai), Китай</t>
        </is>
      </c>
      <c r="Y57" s="80" t="inlineStr">
        <is>
          <t>✓ Завод совпадает (Китай)</t>
        </is>
      </c>
    </row>
    <row r="58" ht="49.5" customHeight="1" s="64">
      <c r="A58" s="77" t="n">
        <v>57</v>
      </c>
      <c r="B58" s="78" t="inlineStr">
        <is>
          <t>Avito (Тольятти, Дмитрий)</t>
        </is>
      </c>
      <c r="C58" s="77" t="n">
        <v>2022</v>
      </c>
      <c r="D58" s="77" t="inlineStr">
        <is>
          <t>н/д</t>
        </is>
      </c>
      <c r="E58" s="78" t="inlineStr">
        <is>
          <t>Performance</t>
        </is>
      </c>
      <c r="F58" s="77" t="n">
        <v>83000</v>
      </c>
      <c r="G58" s="78" t="inlineStr">
        <is>
          <t>н/д</t>
        </is>
      </c>
      <c r="H58" s="78" t="inlineStr">
        <is>
          <t>н/д</t>
        </is>
      </c>
      <c r="I58" s="78" t="inlineStr">
        <is>
          <t>б/у отличное</t>
        </is>
      </c>
      <c r="J58" s="77" t="inlineStr">
        <is>
          <t>Нет</t>
        </is>
      </c>
      <c r="K58" s="77" t="inlineStr">
        <is>
          <t>Базовый</t>
        </is>
      </c>
      <c r="L58" s="78" t="inlineStr">
        <is>
          <t>Тольятти</t>
        </is>
      </c>
      <c r="M58" s="79" t="n">
        <v>4000000</v>
      </c>
      <c r="N58" s="70">
        <f>IF(OR(ISNUMBER(SEARCH("Физлицо",O58)),ISNUMBER(SEARCH("Частник",O58))),M58,M58/1.20)</f>
        <v/>
      </c>
      <c r="O58" s="78" t="inlineStr">
        <is>
          <t>Физлицо: Дмитрий</t>
        </is>
      </c>
      <c r="P58" s="78" t="inlineStr">
        <is>
          <t>н/д</t>
        </is>
      </c>
      <c r="Q58" s="78" t="inlineStr">
        <is>
          <t>Дмитрий</t>
        </is>
      </c>
      <c r="R58" s="71" t="inlineStr">
        <is>
          <t>https://www.avito.ru/all/avtomobili/tesla/model_y-ASgBAgICAkTgtg2umSjitg22qTo?cd=1&amp;s=104</t>
        </is>
      </c>
      <c r="S58" s="77" t="inlineStr">
        <is>
          <t>Активно</t>
        </is>
      </c>
      <c r="T58" s="78" t="inlineStr">
        <is>
          <t>514 л.с., полный привод</t>
        </is>
      </c>
      <c r="U58" s="78" t="inlineStr">
        <is>
          <t>Тесла Германия 12.22, покупалась новой, есть окрас крыла, притёрли на парковке, новая резина в круг. Вложений не требует, машина как новая. Последнее обновление пришло 21 января 2026 года. Краснодар.</t>
        </is>
      </c>
      <c r="V58" s="72" t="inlineStr">
        <is>
          <t>—</t>
        </is>
      </c>
      <c r="W58" s="72" t="inlineStr">
        <is>
          <t>—</t>
        </is>
      </c>
      <c r="X58" s="72" t="inlineStr">
        <is>
          <t>—</t>
        </is>
      </c>
      <c r="Y58" s="73" t="inlineStr">
        <is>
          <t>— нет VIN для проверки</t>
        </is>
      </c>
    </row>
    <row r="59" ht="49.5" customHeight="1" s="64">
      <c r="A59" s="74" t="n">
        <v>58</v>
      </c>
      <c r="B59" s="72" t="inlineStr">
        <is>
          <t>Avito (МО, Заречье)</t>
        </is>
      </c>
      <c r="C59" s="74" t="n">
        <v>2022</v>
      </c>
      <c r="D59" s="74" t="inlineStr">
        <is>
          <t>н/д</t>
        </is>
      </c>
      <c r="E59" s="72" t="inlineStr">
        <is>
          <t>Long Range 75D Германия</t>
        </is>
      </c>
      <c r="F59" s="74" t="n">
        <v>58650</v>
      </c>
      <c r="G59" s="84" t="inlineStr">
        <is>
          <t>Белый</t>
        </is>
      </c>
      <c r="H59" s="84" t="inlineStr">
        <is>
          <t>Чёрный (Tesla базовый)</t>
        </is>
      </c>
      <c r="I59" s="72" t="inlineStr">
        <is>
          <t>б/у отличное</t>
        </is>
      </c>
      <c r="J59" s="74" t="inlineStr">
        <is>
          <t>Нет</t>
        </is>
      </c>
      <c r="K59" s="74" t="inlineStr">
        <is>
          <t>Базовый</t>
        </is>
      </c>
      <c r="L59" s="72" t="inlineStr">
        <is>
          <t>МО, пгт. Заречье</t>
        </is>
      </c>
      <c r="M59" s="75" t="n">
        <v>4250000</v>
      </c>
      <c r="N59" s="70">
        <f>IF(OR(ISNUMBER(SEARCH("Физлицо",O59)),ISNUMBER(SEARCH("Частник",O59))),M59,M59/1.20)</f>
        <v/>
      </c>
      <c r="O59" s="72" t="inlineStr">
        <is>
          <t>Физлицо</t>
        </is>
      </c>
      <c r="P59" s="72" t="inlineStr">
        <is>
          <t>Германия (12.2022)</t>
        </is>
      </c>
      <c r="Q59" s="72" t="inlineStr">
        <is>
          <t>—</t>
        </is>
      </c>
      <c r="R59" s="71" t="inlineStr">
        <is>
          <t>https://www.avito.ru/krasnodar/avtomobili/tesla_model_y_at_2022_45_000_km_7904687473</t>
        </is>
      </c>
      <c r="S59" s="74" t="inlineStr">
        <is>
          <t>Активно</t>
        </is>
      </c>
      <c r="T59" s="72" t="inlineStr">
        <is>
          <t>Под полную пошлину официально из Германии, бронепленка; Краснодар, Красноармейская ул., 91, р-н Центральный. Частное лицо. Без звонков — продавец предпочитает сообщения. Локальный окрас крыла</t>
        </is>
      </c>
      <c r="U59" s="72" t="inlineStr">
        <is>
          <t>Тесла Германия 12.22, покупалась новой, есть окрас крыла — притёрли на парковке, новая резина в круг. Вложений не требует, машина как новая. Последнее обновление пришло 21 января 26 года.</t>
        </is>
      </c>
      <c r="V59" s="84" t="inlineStr">
        <is>
          <t>XP7Y*** (Berlin, Германия)</t>
        </is>
      </c>
      <c r="W59" s="72" t="inlineStr">
        <is>
          <t>? (нет полного VIN)</t>
        </is>
      </c>
      <c r="X59" s="72" t="inlineStr">
        <is>
          <t>Berlin (Giga Berlin), Германия</t>
        </is>
      </c>
      <c r="Y59" s="80" t="inlineStr">
        <is>
          <t>✓ Завод совпадает (Германия)</t>
        </is>
      </c>
    </row>
    <row r="60" ht="49.5" customHeight="1" s="64">
      <c r="A60" s="77" t="n">
        <v>59</v>
      </c>
      <c r="B60" s="78" t="inlineStr">
        <is>
          <t>Avito (Москва)</t>
        </is>
      </c>
      <c r="C60" s="77" t="n">
        <v>2022</v>
      </c>
      <c r="D60" s="77" t="inlineStr">
        <is>
          <t>Дек 2022</t>
        </is>
      </c>
      <c r="E60" s="78" t="inlineStr">
        <is>
          <t>Performance Германия</t>
        </is>
      </c>
      <c r="F60" s="77" t="n">
        <v>45000</v>
      </c>
      <c r="G60" s="84" t="inlineStr">
        <is>
          <t>Чёрный</t>
        </is>
      </c>
      <c r="H60" s="84" t="inlineStr">
        <is>
          <t>Чёрный (Tesla базовый)</t>
        </is>
      </c>
      <c r="I60" s="78" t="inlineStr">
        <is>
          <t>б/у отличное</t>
        </is>
      </c>
      <c r="J60" s="77" t="inlineStr">
        <is>
          <t>Да (локально)</t>
        </is>
      </c>
      <c r="K60" s="77" t="inlineStr">
        <is>
          <t>Базовый</t>
        </is>
      </c>
      <c r="L60" s="78" t="inlineStr">
        <is>
          <t>Краснодар</t>
        </is>
      </c>
      <c r="M60" s="79" t="n">
        <v>5500000</v>
      </c>
      <c r="N60" s="70">
        <f>IF(OR(ISNUMBER(SEARCH("Физлицо",O60)),ISNUMBER(SEARCH("Частник",O60))),M60,M60/1.20)</f>
        <v/>
      </c>
      <c r="O60" s="78" t="inlineStr">
        <is>
          <t>Физлицо</t>
        </is>
      </c>
      <c r="P60" s="78" t="inlineStr">
        <is>
          <t>Германия (Giga Berlin)</t>
        </is>
      </c>
      <c r="Q60" s="78" t="inlineStr">
        <is>
          <t>—</t>
        </is>
      </c>
      <c r="R60" s="71" t="inlineStr">
        <is>
          <t>https://www.avito.ru/elabuga/avtomobili/tesla_model_y_at_2022_43_000_km_7838197885</t>
        </is>
      </c>
      <c r="S60" s="77" t="inlineStr">
        <is>
          <t>Активно</t>
        </is>
      </c>
      <c r="T60" s="78" t="inlineStr">
        <is>
          <t>12.2022 Германия, окрас крыла (парковка). Новая резина; Республика Татарстан, Елабужский р-н, Елабуга. Частное лицо. Giga Berlin сборка, бронепленка, доводчики дверей, электроручки, замена фильтров HEPA, 2 комплекта резины, установлена SIM</t>
        </is>
      </c>
      <c r="U60" s="78" t="inlineStr">
        <is>
          <t>Произведена на Giga Berlin (немецкая сборка) европейка. Отличный аппарат. Произведена замена фильтров HEPA и салон. Установлена Sim. 2 комплекта резины. Вся в дорогой броне. Электроручки. Доводчики дверей.</t>
        </is>
      </c>
      <c r="V60" s="84" t="inlineStr">
        <is>
          <t>XP7Y*** (Berlin, Германия)</t>
        </is>
      </c>
      <c r="W60" s="72" t="inlineStr">
        <is>
          <t>? (нет полного VIN)</t>
        </is>
      </c>
      <c r="X60" s="72" t="inlineStr">
        <is>
          <t>Berlin (Giga Berlin), Германия</t>
        </is>
      </c>
      <c r="Y60" s="80" t="inlineStr">
        <is>
          <t>✓ Завод совпадает (Германия)</t>
        </is>
      </c>
    </row>
    <row r="61" ht="49.5" customHeight="1" s="64">
      <c r="A61" s="74" t="n">
        <v>60</v>
      </c>
      <c r="B61" s="72" t="inlineStr">
        <is>
          <t>Avito (Москва)</t>
        </is>
      </c>
      <c r="C61" s="74" t="n">
        <v>2022</v>
      </c>
      <c r="D61" s="74" t="inlineStr">
        <is>
          <t>н/д</t>
        </is>
      </c>
      <c r="E61" s="72" t="inlineStr">
        <is>
          <t>Performance Berlin</t>
        </is>
      </c>
      <c r="F61" s="74" t="n">
        <v>43000</v>
      </c>
      <c r="G61" s="72" t="inlineStr">
        <is>
          <t>н/д</t>
        </is>
      </c>
      <c r="H61" s="72" t="inlineStr">
        <is>
          <t>н/д</t>
        </is>
      </c>
      <c r="I61" s="72" t="inlineStr">
        <is>
          <t>б/у отличное</t>
        </is>
      </c>
      <c r="J61" s="74" t="inlineStr">
        <is>
          <t>Нет</t>
        </is>
      </c>
      <c r="K61" s="74" t="inlineStr">
        <is>
          <t>Базовый</t>
        </is>
      </c>
      <c r="L61" s="72" t="inlineStr">
        <is>
          <t>Елабуга (Татарстан)</t>
        </is>
      </c>
      <c r="M61" s="75" t="n">
        <v>5850000</v>
      </c>
      <c r="N61" s="70">
        <f>IF(OR(ISNUMBER(SEARCH("Физлицо",O61)),ISNUMBER(SEARCH("Частник",O61))),M61,M61/1.20)</f>
        <v/>
      </c>
      <c r="O61" s="72" t="inlineStr">
        <is>
          <t>Физлицо</t>
        </is>
      </c>
      <c r="P61" s="72" t="inlineStr">
        <is>
          <t>Германия (Berlin)</t>
        </is>
      </c>
      <c r="Q61" s="72" t="inlineStr">
        <is>
          <t>—</t>
        </is>
      </c>
      <c r="R61" s="71" t="inlineStr">
        <is>
          <t>https://www.avito.ru/all/avtomobili/tesla/model_y-ASgBAgICAkTgtg2umSjitg22qTo?cd=1&amp;s=104</t>
        </is>
      </c>
      <c r="S61" s="74" t="inlineStr">
        <is>
          <t>Активно</t>
        </is>
      </c>
      <c r="T61" s="72" t="inlineStr">
        <is>
          <t>Giga Berlin, броня, электроручки, доводчики</t>
        </is>
      </c>
      <c r="U61" s="72" t="inlineStr">
        <is>
          <t>Приобретал для себя с Америки с пробегом всего 2500 км. Самая дальнобойная версия с двумя моторами + спорт-пакет (440 л.с.), растаможена на 208 л.с. (огромный плюс — не платить налог на 440 л.с.). Установлено всё что можно для Теслы. Великие Луки.</t>
        </is>
      </c>
      <c r="V61" s="72" t="inlineStr">
        <is>
          <t>—</t>
        </is>
      </c>
      <c r="W61" s="72" t="inlineStr">
        <is>
          <t>—</t>
        </is>
      </c>
      <c r="X61" s="72" t="inlineStr">
        <is>
          <t>—</t>
        </is>
      </c>
      <c r="Y61" s="73" t="inlineStr">
        <is>
          <t>— нет VIN для проверки</t>
        </is>
      </c>
    </row>
    <row r="62" ht="49.5" customHeight="1" s="64">
      <c r="A62" s="77" t="n">
        <v>61</v>
      </c>
      <c r="B62" s="78" t="inlineStr">
        <is>
          <t>Avito (СПб, Multi Cars)</t>
        </is>
      </c>
      <c r="C62" s="77" t="n">
        <v>2021</v>
      </c>
      <c r="D62" s="77" t="inlineStr">
        <is>
          <t>MY22 Германия</t>
        </is>
      </c>
      <c r="E62" s="78" t="inlineStr">
        <is>
          <t>Long Range Dual Motor</t>
        </is>
      </c>
      <c r="F62" s="77" t="n">
        <v>78000</v>
      </c>
      <c r="G62" s="78" t="inlineStr">
        <is>
          <t>н/д</t>
        </is>
      </c>
      <c r="H62" s="78" t="inlineStr">
        <is>
          <t>н/д</t>
        </is>
      </c>
      <c r="I62" s="78" t="inlineStr">
        <is>
          <t>б/у отличное</t>
        </is>
      </c>
      <c r="J62" s="77" t="inlineStr">
        <is>
          <t>Нет</t>
        </is>
      </c>
      <c r="K62" s="77" t="inlineStr">
        <is>
          <t>Базовый</t>
        </is>
      </c>
      <c r="L62" s="78" t="inlineStr">
        <is>
          <t>Санкт-Петербург</t>
        </is>
      </c>
      <c r="M62" s="79" t="n">
        <v>4450000</v>
      </c>
      <c r="N62" s="70">
        <f>IF(OR(ISNUMBER(SEARCH("Физлицо",O62)),ISNUMBER(SEARCH("Частник",O62))),M62,M62/1.20)</f>
        <v/>
      </c>
      <c r="O62" s="78" t="inlineStr">
        <is>
          <t>Юрлицо: Multi Cars</t>
        </is>
      </c>
      <c r="P62" s="78" t="inlineStr">
        <is>
          <t>Германия</t>
        </is>
      </c>
      <c r="Q62" s="78" t="inlineStr">
        <is>
          <t>Multi Cars</t>
        </is>
      </c>
      <c r="R62" s="71" t="inlineStr">
        <is>
          <t>https://www.avito.ru/all/avtomobili/tesla/model_y-ASgBAgICAkTgtg2umSjitg22qTo?cd=1&amp;s=104</t>
        </is>
      </c>
      <c r="S62" s="77" t="inlineStr">
        <is>
          <t>Активно</t>
        </is>
      </c>
      <c r="T62" s="78" t="inlineStr">
        <is>
          <t>Германская сборка, 1 владелец</t>
        </is>
      </c>
      <c r="U62" s="78" t="inlineStr">
        <is>
          <t>Автомобиль привезён из Германии. Перфорированный руль, салон алькантара, светодиодная подсветка по контуру салона, очёчник перетянут в алькантара. Оригинальные диски 21' с новой резиной, зимние диски с новой резиной 19'. СПб.</t>
        </is>
      </c>
      <c r="V62" s="72" t="inlineStr">
        <is>
          <t>—</t>
        </is>
      </c>
      <c r="W62" s="72" t="inlineStr">
        <is>
          <t>—</t>
        </is>
      </c>
      <c r="X62" s="72" t="inlineStr">
        <is>
          <t>—</t>
        </is>
      </c>
      <c r="Y62" s="73" t="inlineStr">
        <is>
          <t>— нет VIN для проверки</t>
        </is>
      </c>
    </row>
    <row r="63" ht="49.5" customHeight="1" s="64">
      <c r="A63" s="74" t="n">
        <v>62</v>
      </c>
      <c r="B63" s="72" t="inlineStr">
        <is>
          <t>Avito (Великие Луки)</t>
        </is>
      </c>
      <c r="C63" s="74" t="n">
        <v>2020</v>
      </c>
      <c r="D63" s="74" t="inlineStr">
        <is>
          <t>Performance 440 ЛС</t>
        </is>
      </c>
      <c r="E63" s="72" t="inlineStr">
        <is>
          <t>Performance USA</t>
        </is>
      </c>
      <c r="F63" s="74" t="n">
        <v>23500</v>
      </c>
      <c r="G63" s="72" t="inlineStr">
        <is>
          <t>чёрный матовый (плёнка)</t>
        </is>
      </c>
      <c r="H63" s="72" t="inlineStr">
        <is>
          <t>тёмный, алькантара</t>
        </is>
      </c>
      <c r="I63" s="72" t="inlineStr">
        <is>
          <t>б/у отличное</t>
        </is>
      </c>
      <c r="J63" s="74" t="inlineStr">
        <is>
          <t>Нет</t>
        </is>
      </c>
      <c r="K63" s="74" t="inlineStr">
        <is>
          <t>н/д</t>
        </is>
      </c>
      <c r="L63" s="72" t="inlineStr">
        <is>
          <t>Великие Луки (Псков)</t>
        </is>
      </c>
      <c r="M63" s="75" t="n">
        <v>3999000</v>
      </c>
      <c r="N63" s="70">
        <f>IF(OR(ISNUMBER(SEARCH("Физлицо",O63)),ISNUMBER(SEARCH("Частник",O63))),M63,M63/1.20)</f>
        <v/>
      </c>
      <c r="O63" s="72" t="inlineStr">
        <is>
          <t>Физлицо</t>
        </is>
      </c>
      <c r="P63" s="72" t="inlineStr">
        <is>
          <t>Германия</t>
        </is>
      </c>
      <c r="Q63" s="72" t="inlineStr">
        <is>
          <t>—</t>
        </is>
      </c>
      <c r="R63" s="71" t="inlineStr">
        <is>
          <t>https://www.avito.ru/sankt-peterburg/avtomobili/tesla_model_y_at_2022_81_000_km_7924260929</t>
        </is>
      </c>
      <c r="S63" s="74" t="inlineStr">
        <is>
          <t>Активно</t>
        </is>
      </c>
      <c r="T63" s="72" t="inlineStr">
        <is>
          <t>440 л.с. (208 в ПТС), очень малый пробег; СПб, ул. Савушкина, 126 (р-н Беговая/Зенит). Тёмный салон алькантара, кузов в матовой плёнке СТЭК, диски 21" и 19" с новой резиной. **Трещина на лобовом стекле** (продавец готов заменить за свой счёт)</t>
        </is>
      </c>
      <c r="U63" s="72" t="inlineStr">
        <is>
          <t>Автомобиль привезён из Германии. Перфорированный руль, салон алькантара, светодиодная подсветка по контуру салона, очёчник перетянут в алькантара, оригинальные диски 21" с новой резиной, зимние диски с новой резиной 19" соответственно. Кузов полностью в чёрной матовой плёнке СТЭК. Не требует технического обслуживая. Присутствует трещина на лобовом стекле (реальному покупателю, готов произвести замену за свой счёт).</t>
        </is>
      </c>
      <c r="V63" s="72" t="inlineStr">
        <is>
          <t>XP7Y*** (Berlin) Германия</t>
        </is>
      </c>
      <c r="W63" s="72" t="inlineStr">
        <is>
          <t>? (нет полного VIN)</t>
        </is>
      </c>
      <c r="X63" s="72" t="inlineStr">
        <is>
          <t>Berlin (Giga Berlin), Германия</t>
        </is>
      </c>
      <c r="Y63" s="80" t="inlineStr">
        <is>
          <t>✓ Завод совпадает (Германия)</t>
        </is>
      </c>
    </row>
    <row r="64" ht="49.5" customHeight="1" s="64">
      <c r="A64" s="77" t="n">
        <v>63</v>
      </c>
      <c r="B64" s="78" t="inlineStr">
        <is>
          <t>Avito (Москва)</t>
        </is>
      </c>
      <c r="C64" s="77" t="n">
        <v>2022</v>
      </c>
      <c r="D64" s="77" t="inlineStr">
        <is>
          <t>н/д</t>
        </is>
      </c>
      <c r="E64" s="78" t="inlineStr">
        <is>
          <t>Long Range AWD Performance Германия</t>
        </is>
      </c>
      <c r="F64" s="77" t="n">
        <v>81000</v>
      </c>
      <c r="G64" s="78" t="inlineStr">
        <is>
          <t>н/д</t>
        </is>
      </c>
      <c r="H64" s="78" t="inlineStr">
        <is>
          <t>н/д</t>
        </is>
      </c>
      <c r="I64" s="78" t="inlineStr">
        <is>
          <t>б/у отличное</t>
        </is>
      </c>
      <c r="J64" s="77" t="inlineStr">
        <is>
          <t>Нет</t>
        </is>
      </c>
      <c r="K64" s="77" t="inlineStr">
        <is>
          <t>Базовый</t>
        </is>
      </c>
      <c r="L64" s="78" t="inlineStr">
        <is>
          <t>Санкт-Петербург</t>
        </is>
      </c>
      <c r="M64" s="79" t="n">
        <v>4600000</v>
      </c>
      <c r="N64" s="70">
        <f>IF(OR(ISNUMBER(SEARCH("Физлицо",O64)),ISNUMBER(SEARCH("Частник",O64))),M64,M64/1.20)</f>
        <v/>
      </c>
      <c r="O64" s="78" t="inlineStr">
        <is>
          <t>Физлицо</t>
        </is>
      </c>
      <c r="P64" s="78" t="inlineStr">
        <is>
          <t>Германия</t>
        </is>
      </c>
      <c r="Q64" s="78" t="inlineStr">
        <is>
          <t>—</t>
        </is>
      </c>
      <c r="R64" s="71" t="inlineStr">
        <is>
          <t>https://www.avito.ru/all/avtomobili/tesla/model_y-ASgBAgICAkTgtg2umSjitg22qTo?cd=1&amp;s=104</t>
        </is>
      </c>
      <c r="S64" s="77" t="inlineStr">
        <is>
          <t>Активно</t>
        </is>
      </c>
      <c r="T64" s="78" t="inlineStr">
        <is>
          <t>Перфорированный руль, алькантара, R21 + R19 зима</t>
        </is>
      </c>
      <c r="U64" s="78" t="inlineStr">
        <is>
          <t>Продаю Tesla Y Performance. Сборка Берлин, Германия. Для европейского рынка с разъёмом CCS2. Без ограничений, обновления приходят. Автомобиль не битый, не крашеный. Передняя часть в дорогой броне плёнке. Машина топчик. Владикавказ.</t>
        </is>
      </c>
      <c r="V64" s="72" t="inlineStr">
        <is>
          <t>—</t>
        </is>
      </c>
      <c r="W64" s="72" t="inlineStr">
        <is>
          <t>—</t>
        </is>
      </c>
      <c r="X64" s="72" t="inlineStr">
        <is>
          <t>—</t>
        </is>
      </c>
      <c r="Y64" s="73" t="inlineStr">
        <is>
          <t>— нет VIN для проверки</t>
        </is>
      </c>
    </row>
    <row r="65" ht="49.5" customHeight="1" s="64">
      <c r="A65" s="74" t="n">
        <v>64</v>
      </c>
      <c r="B65" s="72" t="inlineStr">
        <is>
          <t>Avito (Новосибирск, К2АВТО)</t>
        </is>
      </c>
      <c r="C65" s="74" t="n">
        <v>2022</v>
      </c>
      <c r="D65" s="74" t="inlineStr">
        <is>
          <t>н/д</t>
        </is>
      </c>
      <c r="E65" s="84" t="inlineStr">
        <is>
          <t>Performance Berlin</t>
        </is>
      </c>
      <c r="F65" s="74" t="n">
        <v>16000</v>
      </c>
      <c r="G65" s="84" t="inlineStr">
        <is>
          <t>Чёрный</t>
        </is>
      </c>
      <c r="H65" s="84" t="inlineStr">
        <is>
          <t>Чёрный (Tesla базовый)</t>
        </is>
      </c>
      <c r="I65" s="72" t="inlineStr">
        <is>
          <t>б/у отличное</t>
        </is>
      </c>
      <c r="J65" s="74" t="inlineStr">
        <is>
          <t>Нет</t>
        </is>
      </c>
      <c r="K65" s="74" t="inlineStr">
        <is>
          <t>Базовый</t>
        </is>
      </c>
      <c r="L65" s="72" t="inlineStr">
        <is>
          <t>Новосибирск</t>
        </is>
      </c>
      <c r="M65" s="75" t="n">
        <v>4999000</v>
      </c>
      <c r="N65" s="70">
        <f>IF(OR(ISNUMBER(SEARCH("Физлицо",O65)),ISNUMBER(SEARCH("Частник",O65))),M65,M65/1.20)</f>
        <v/>
      </c>
      <c r="O65" s="72" t="inlineStr">
        <is>
          <t>Юрлицо: К2АВТО</t>
        </is>
      </c>
      <c r="P65" s="72" t="inlineStr">
        <is>
          <t>Германия (Berlin)</t>
        </is>
      </c>
      <c r="Q65" s="72" t="inlineStr">
        <is>
          <t>К2АВТО</t>
        </is>
      </c>
      <c r="R65" s="71" t="inlineStr">
        <is>
          <t>https://www.avito.ru/vladikavkaz/avtomobili/tesla_model_y_at_2022_55_000_km_7914871770</t>
        </is>
      </c>
      <c r="S65" s="74" t="inlineStr">
        <is>
          <t>Активно</t>
        </is>
      </c>
      <c r="T65" s="72" t="inlineStr">
        <is>
          <t>Trade-in, кредит, 1 владелец; Республика Северная Осетия — Владикавказ, ул. Шамиля Джикаева, р-н Затеречный. Частное лицо, 1 отзыв; ⚠ ИСПРАВЛЕНО (валидация 21.05.26): модификация изменена с Long Range на Performance — описание явно указывает 534 л.с. и Performance (было: «Long Range AWD»)</t>
        </is>
      </c>
      <c r="U65" s="72" t="inlineStr">
        <is>
          <t>Продаю Tesla Y Performance. Сборка — Берлин, Германия. Для европейского рынка с разъёмом CCS2. Без ограничений, обновления приходят. Автомобиль не битый, не крашеный. Передняя часть в дорогой броне плёнке, машина Топчик 🔥. Основные заправки были на медленной зарядке! Причина продажи нужны 💵.</t>
        </is>
      </c>
      <c r="V65" s="84" t="inlineStr">
        <is>
          <t>XP7Y*** (Berlin, Германия)</t>
        </is>
      </c>
      <c r="W65" s="72" t="inlineStr">
        <is>
          <t>? (нет полного VIN)</t>
        </is>
      </c>
      <c r="X65" s="72" t="inlineStr">
        <is>
          <t>Berlin (Giga Berlin), Германия</t>
        </is>
      </c>
      <c r="Y65" s="80" t="inlineStr">
        <is>
          <t>✓ Завод совпадает (Германия)</t>
        </is>
      </c>
    </row>
    <row r="66" ht="49.5" customHeight="1" s="64">
      <c r="A66" s="77" t="n">
        <v>65</v>
      </c>
      <c r="B66" s="78" t="inlineStr">
        <is>
          <t>Avito (Владикавказ)</t>
        </is>
      </c>
      <c r="C66" s="77" t="n">
        <v>2022</v>
      </c>
      <c r="D66" s="77" t="inlineStr">
        <is>
          <t>н/д</t>
        </is>
      </c>
      <c r="E66" s="78" t="inlineStr">
        <is>
          <t>Performance Berlin</t>
        </is>
      </c>
      <c r="F66" s="77" t="n">
        <v>55000</v>
      </c>
      <c r="G66" s="84" t="inlineStr">
        <is>
          <t>Чёрный</t>
        </is>
      </c>
      <c r="H66" s="84" t="inlineStr">
        <is>
          <t>Чёрный (Tesla базовый)</t>
        </is>
      </c>
      <c r="I66" s="78" t="inlineStr">
        <is>
          <t>б/у отличное</t>
        </is>
      </c>
      <c r="J66" s="77" t="inlineStr">
        <is>
          <t>Нет</t>
        </is>
      </c>
      <c r="K66" s="77" t="inlineStr">
        <is>
          <t>Базовый</t>
        </is>
      </c>
      <c r="L66" s="78" t="inlineStr">
        <is>
          <t>Владикавказ (Сев. Осетия)</t>
        </is>
      </c>
      <c r="M66" s="79" t="n">
        <v>5850000</v>
      </c>
      <c r="N66" s="70">
        <f>IF(OR(ISNUMBER(SEARCH("Физлицо",O66)),ISNUMBER(SEARCH("Частник",O66))),M66,M66/1.20)</f>
        <v/>
      </c>
      <c r="O66" s="78" t="inlineStr">
        <is>
          <t>Физлицо</t>
        </is>
      </c>
      <c r="P66" s="78" t="inlineStr">
        <is>
          <t>Германия (Berlin)</t>
        </is>
      </c>
      <c r="Q66" s="78" t="inlineStr">
        <is>
          <t>—</t>
        </is>
      </c>
      <c r="R66" s="71" t="inlineStr">
        <is>
          <t>https://www.avito.ru/ekaterinburg/avtomobili/tesla_model_y_at_2022_35_000_km_7907023318</t>
        </is>
      </c>
      <c r="S66" s="77" t="inlineStr">
        <is>
          <t>Активно</t>
        </is>
      </c>
      <c r="T66" s="78" t="inlineStr">
        <is>
          <t>Berlin, CCS2, без ограничений, передняя часть в броне; Екатеринбург. Частное лицо, 5 отзывов. Реальные 534 л.с. (в СТС записано 123), кузов в керамике, пакет автопилота, обслуживалась у Руслана в Tesla сервис, торг за срочность</t>
        </is>
      </c>
      <c r="U66" s="78" t="inlineStr">
        <is>
          <t>Продаю Tesla Y Performance. Сборка — Берлин, Германия. Для европейского рынка с разъёмом CCS2. Без ограничений, пакет автопилота включён, обновления приходят. Авито автоматически ставит неправильную мощность в объявлении. На самом деле — 534 л.с. Состояние идеальное, без аварий и каких-либо окрасов. Кузов — в керамике. Присутствуют лишь небольшие дефекты (царапины) на дисках из-за конструктивной особенности выступающих ободов. Куплена и поставлена на учёт в мае 2023 года. Записанная мощность в СТС — всего 123 л.с. Зимние и летние шины, зарядный шнур для медленной зарядки — в комплекте. Износа колодок и тормозных дисков нет. Обслуживалась у Руслана в Tesla сервис. Поторгуюсь за срочность, пока интересующий меня автомобиль в продаже.</t>
        </is>
      </c>
      <c r="V66" s="84" t="inlineStr">
        <is>
          <t>XP7Y*** (Berlin, Германия)</t>
        </is>
      </c>
      <c r="W66" s="72" t="inlineStr">
        <is>
          <t>? (нет полного VIN)</t>
        </is>
      </c>
      <c r="X66" s="72" t="inlineStr">
        <is>
          <t>Berlin (Giga Berlin), Германия</t>
        </is>
      </c>
      <c r="Y66" s="80" t="inlineStr">
        <is>
          <t>✓ Завод совпадает (Германия)</t>
        </is>
      </c>
    </row>
    <row r="67" ht="49.5" customHeight="1" s="64">
      <c r="A67" s="74" t="n">
        <v>66</v>
      </c>
      <c r="B67" s="72" t="inlineStr">
        <is>
          <t>Avito (Екатеринбург)</t>
        </is>
      </c>
      <c r="C67" s="74" t="n">
        <v>2022</v>
      </c>
      <c r="D67" s="74" t="inlineStr">
        <is>
          <t>н/д</t>
        </is>
      </c>
      <c r="E67" s="72" t="inlineStr">
        <is>
          <t>Performance Berlin</t>
        </is>
      </c>
      <c r="F67" s="74" t="n">
        <v>35000</v>
      </c>
      <c r="G67" s="72" t="inlineStr">
        <is>
          <t>н/д</t>
        </is>
      </c>
      <c r="H67" s="72" t="inlineStr">
        <is>
          <t>н/д</t>
        </is>
      </c>
      <c r="I67" s="72" t="inlineStr">
        <is>
          <t>б/у отличное</t>
        </is>
      </c>
      <c r="J67" s="74" t="inlineStr">
        <is>
          <t>Нет</t>
        </is>
      </c>
      <c r="K67" s="74" t="inlineStr">
        <is>
          <t>Базовый</t>
        </is>
      </c>
      <c r="L67" s="72" t="inlineStr">
        <is>
          <t>Екатеринбург</t>
        </is>
      </c>
      <c r="M67" s="75" t="n">
        <v>5950000</v>
      </c>
      <c r="N67" s="70">
        <f>IF(OR(ISNUMBER(SEARCH("Физлицо",O67)),ISNUMBER(SEARCH("Частник",O67))),M67,M67/1.20)</f>
        <v/>
      </c>
      <c r="O67" s="72" t="inlineStr">
        <is>
          <t>Физлицо</t>
        </is>
      </c>
      <c r="P67" s="72" t="inlineStr">
        <is>
          <t>Германия (Berlin)</t>
        </is>
      </c>
      <c r="Q67" s="72" t="inlineStr">
        <is>
          <t>—</t>
        </is>
      </c>
      <c r="R67" s="71" t="inlineStr">
        <is>
          <t>https://www.avito.ru/all/avtomobili/tesla/model_y-ASgBAgICAkTgtg2umSjitg22qTo?cd=1&amp;s=104</t>
        </is>
      </c>
      <c r="S67" s="74" t="inlineStr">
        <is>
          <t>Активно</t>
        </is>
      </c>
      <c r="T67" s="72" t="inlineStr">
        <is>
          <t>534 л.с., пакет автопилота, обновления приходят</t>
        </is>
      </c>
      <c r="U67" s="72" t="inlineStr">
        <is>
          <t>Продам машину, Tesla Model Y, 2022 г. Приобрела новую в салоне в 2023 г. Я первый и единственный владелец. Передвигалась на ней до работы и обратно. Хочу перейти на бензин, поэтому выставила на продажу. Изначально была чёрная — перекрасили. Москва, Елизавета.</t>
        </is>
      </c>
      <c r="V67" s="72" t="inlineStr">
        <is>
          <t>—</t>
        </is>
      </c>
      <c r="W67" s="72" t="inlineStr">
        <is>
          <t>—</t>
        </is>
      </c>
      <c r="X67" s="72" t="inlineStr">
        <is>
          <t>—</t>
        </is>
      </c>
      <c r="Y67" s="73" t="inlineStr">
        <is>
          <t>— нет VIN для проверки</t>
        </is>
      </c>
    </row>
    <row r="68" ht="49.5" customHeight="1" s="64">
      <c r="A68" s="77" t="n">
        <v>67</v>
      </c>
      <c r="B68" s="78" t="inlineStr">
        <is>
          <t>Avito (Сочи, Красная Поляна)</t>
        </is>
      </c>
      <c r="C68" s="77" t="n">
        <v>2021</v>
      </c>
      <c r="D68" s="77" t="inlineStr">
        <is>
          <t>MY22</t>
        </is>
      </c>
      <c r="E68" s="78" t="inlineStr">
        <is>
          <t>Long Range AWD Германия</t>
        </is>
      </c>
      <c r="F68" s="77" t="n">
        <v>63000</v>
      </c>
      <c r="G68" s="78" t="inlineStr">
        <is>
          <t>н/д</t>
        </is>
      </c>
      <c r="H68" s="78" t="inlineStr">
        <is>
          <t>н/д</t>
        </is>
      </c>
      <c r="I68" s="78" t="inlineStr">
        <is>
          <t>б/у отличное</t>
        </is>
      </c>
      <c r="J68" s="77" t="inlineStr">
        <is>
          <t>Нет</t>
        </is>
      </c>
      <c r="K68" s="77" t="inlineStr">
        <is>
          <t>Базовый</t>
        </is>
      </c>
      <c r="L68" s="78" t="inlineStr">
        <is>
          <t>Сочи (Красная Поляна)</t>
        </is>
      </c>
      <c r="M68" s="79" t="n">
        <v>4200000</v>
      </c>
      <c r="N68" s="70">
        <f>IF(OR(ISNUMBER(SEARCH("Физлицо",O68)),ISNUMBER(SEARCH("Частник",O68))),M68,M68/1.20)</f>
        <v/>
      </c>
      <c r="O68" s="78" t="inlineStr">
        <is>
          <t>Физлицо</t>
        </is>
      </c>
      <c r="P68" s="78" t="inlineStr">
        <is>
          <t>Германия (аукцион)</t>
        </is>
      </c>
      <c r="Q68" s="78" t="inlineStr">
        <is>
          <t>—</t>
        </is>
      </c>
      <c r="R68" s="71" t="inlineStr">
        <is>
          <t>https://www.avito.ru/all/avtomobili/tesla/model_y-ASgBAgICAkTgtg2umSjitg22qTo?cd=1&amp;s=104</t>
        </is>
      </c>
      <c r="S68" s="77" t="inlineStr">
        <is>
          <t>Активно</t>
        </is>
      </c>
      <c r="T68" s="78" t="inlineStr">
        <is>
          <t>С аукциона Германии, родной окрас, без ДТП</t>
        </is>
      </c>
      <c r="U68" s="78" t="inlineStr">
        <is>
          <t>Продажа от собственника Tesla Y Long Range 2023 г.в., произведена в Германии для европейского рынка. В ПТС — 208 л.с. Авто не бито, не крашено, не «утопленник». Батарея на 78 кВт. Полный заряд батареи на 500+ км в летнее время. Геленджик.</t>
        </is>
      </c>
      <c r="V68" s="72" t="inlineStr">
        <is>
          <t>—</t>
        </is>
      </c>
      <c r="W68" s="72" t="inlineStr">
        <is>
          <t>—</t>
        </is>
      </c>
      <c r="X68" s="72" t="inlineStr">
        <is>
          <t>—</t>
        </is>
      </c>
      <c r="Y68" s="73" t="inlineStr">
        <is>
          <t>— нет VIN для проверки</t>
        </is>
      </c>
    </row>
    <row r="69" ht="49.5" customHeight="1" s="64">
      <c r="A69" s="74" t="n">
        <v>68</v>
      </c>
      <c r="B69" s="72" t="inlineStr">
        <is>
          <t>Avito (Москва, физлицо)</t>
        </is>
      </c>
      <c r="C69" s="74" t="n">
        <v>2022</v>
      </c>
      <c r="D69" s="74" t="inlineStr">
        <is>
          <t>н/д</t>
        </is>
      </c>
      <c r="E69" s="84" t="inlineStr">
        <is>
          <t>Performance</t>
        </is>
      </c>
      <c r="F69" s="74" t="n">
        <v>30000</v>
      </c>
      <c r="G69" s="72" t="inlineStr">
        <is>
          <t>был чёрный, перекрашен</t>
        </is>
      </c>
      <c r="H69" s="72" t="inlineStr">
        <is>
          <t>н/д</t>
        </is>
      </c>
      <c r="I69" s="72" t="inlineStr">
        <is>
          <t>б/у отличное</t>
        </is>
      </c>
      <c r="J69" s="74" t="inlineStr">
        <is>
          <t>Нет</t>
        </is>
      </c>
      <c r="K69" s="74" t="inlineStr">
        <is>
          <t>Базовый</t>
        </is>
      </c>
      <c r="L69" s="72" t="inlineStr">
        <is>
          <t>Москва</t>
        </is>
      </c>
      <c r="M69" s="75" t="n">
        <v>4900000</v>
      </c>
      <c r="N69" s="70">
        <f>IF(OR(ISNUMBER(SEARCH("Физлицо",O69)),ISNUMBER(SEARCH("Частник",O69))),M69,M69/1.20)</f>
        <v/>
      </c>
      <c r="O69" s="72" t="inlineStr">
        <is>
          <t>Физлицо: Елизавета</t>
        </is>
      </c>
      <c r="P69" s="72" t="inlineStr">
        <is>
          <t>РФ (1 владелец)</t>
        </is>
      </c>
      <c r="Q69" s="72" t="inlineStr">
        <is>
          <t>Елизавета</t>
        </is>
      </c>
      <c r="R69" s="71" t="inlineStr">
        <is>
          <t>https://www.avito.ru/all/avtomobili/tesla/model_y-ASgBAgICAkTgtg2umSjitg22qTo?cd=1&amp;s=104</t>
        </is>
      </c>
      <c r="S69" s="74" t="inlineStr">
        <is>
          <t>Активно</t>
        </is>
      </c>
      <c r="T69" s="72" t="inlineStr">
        <is>
          <t>Куплена новой в салоне 2023. 1 владелец до сих пор; ⚠ ИСПРАВЛЕНО (валидация 21.05.26): модификация изменена с Long Range на Performance — описание явно указывает 534 л.с. и Performance (было: «Long Range AWD»)</t>
        </is>
      </c>
      <c r="U69" s="72" t="inlineStr">
        <is>
          <t>Чистый Performance, обслужена. Резина Michelin Pilot Sport 4, машина вся в броне плёнке. Доп. установлены. Машина пока в Краснодаре! В отличном состоянии! Во владении 2 года! Брали на пробеге 18 тыс. км! Сами заказывали, отдаём по себестоимости, даже дешевле! Керчь (Крым).</t>
        </is>
      </c>
      <c r="V69" s="72" t="inlineStr">
        <is>
          <t>—</t>
        </is>
      </c>
      <c r="W69" s="72" t="inlineStr">
        <is>
          <t>—</t>
        </is>
      </c>
      <c r="X69" s="72" t="inlineStr">
        <is>
          <t>—</t>
        </is>
      </c>
      <c r="Y69" s="73" t="inlineStr">
        <is>
          <t>— нет VIN для проверки</t>
        </is>
      </c>
    </row>
    <row r="70" ht="49.5" customHeight="1" s="64">
      <c r="A70" s="67" t="n">
        <v>69</v>
      </c>
      <c r="B70" s="68" t="inlineStr">
        <is>
          <t>Avito (Геленджик)</t>
        </is>
      </c>
      <c r="C70" s="67" t="n">
        <v>2023</v>
      </c>
      <c r="D70" s="67" t="inlineStr">
        <is>
          <t>н/д</t>
        </is>
      </c>
      <c r="E70" s="68" t="inlineStr">
        <is>
          <t>Long Range AWD Германия</t>
        </is>
      </c>
      <c r="F70" s="67" t="n">
        <v>28850</v>
      </c>
      <c r="G70" s="68" t="inlineStr">
        <is>
          <t>н/д</t>
        </is>
      </c>
      <c r="H70" s="68" t="inlineStr">
        <is>
          <t>н/д</t>
        </is>
      </c>
      <c r="I70" s="68" t="inlineStr">
        <is>
          <t>б/у отличное</t>
        </is>
      </c>
      <c r="J70" s="67" t="inlineStr">
        <is>
          <t>Нет</t>
        </is>
      </c>
      <c r="K70" s="67" t="inlineStr">
        <is>
          <t>Базовый</t>
        </is>
      </c>
      <c r="L70" s="68" t="inlineStr">
        <is>
          <t>Геленджик</t>
        </is>
      </c>
      <c r="M70" s="69" t="n">
        <v>4550000</v>
      </c>
      <c r="N70" s="69">
        <f>IF(OR(ISNUMBER(SEARCH("Физлицо",O70)),ISNUMBER(SEARCH("Частник",O70))),M70,M70/1.20)</f>
        <v/>
      </c>
      <c r="O70" s="68" t="inlineStr">
        <is>
          <t>Физлицо (собственник)</t>
        </is>
      </c>
      <c r="P70" s="68" t="inlineStr">
        <is>
          <t>Заказ с завода (армянский учёт)</t>
        </is>
      </c>
      <c r="Q70" s="68" t="inlineStr">
        <is>
          <t>—</t>
        </is>
      </c>
      <c r="R70" s="87" t="inlineStr">
        <is>
          <t>https://www.avito.ru/kerch/avtomobili/tesla_model_y_at_2023_41_000_km_8066292736</t>
        </is>
      </c>
      <c r="S70" s="67" t="inlineStr">
        <is>
          <t>Активно</t>
        </is>
      </c>
      <c r="T70" s="68" t="inlineStr">
        <is>
          <t>Батарея 78 кВт·ч, не бит, 208 л.с. в ПТС; Керчь (Крым), машина пока в Краснодаре. Карибов Эдуард Спартакович, частное лицо, 24 отзыва, рейтинг 4.8, на Авито с 2016, надёжный партнёр. **Заднее левое крыло окрашено** (есть на схеме). Michelin Pilot Sport 4, кузов в бронепленке. Цена 2 490 000 ₽ — сильно ниже рынка для Performance 2023; Республика Крым, г.о. Керчь (фактически машина в Краснодаре!). Карибов Эдуард Спартакович, надёжный партнёр, 24 отзыва, на Авито с 2016. **Важно**: машина на армянском учёте — оформление на родственника в Ереване для езды без штрафов. Цена снижена с 4 590 000 до 2 490 000 ₽. Заднее левое крыло окрашено. Резина Michelin Pilot Sport 4</t>
        </is>
      </c>
      <c r="U70" s="68" t="inlineStr">
        <is>
          <t>Машина пока в Краснодаре!!! В отличном состоянии! Во владении 2 года! Брали на пробеге 18т км! Сами заказывали, отдаём по себестоимости, даже дешевле! Чистый performance! Обслужена! Резина Michelin Pilot Sport 4, машина вся в броне плёнке, доп. установлены доводчики и подсветка! Коврики из бельгийской ворсы! Можем оформить на вашего человека в Ереване! И ездите без штрафов платных парковок и т.д.! Такая на рус учёте в таком состоянии 5,5–6! Цена копейки! Батарея 🔥 не требует никаких вложений! Забирайте в хорошие руки! С нынешними ценами, удивитесь от экономии! На обмен 3 ✋ Отдадим с номером 23КР111 (ам).</t>
        </is>
      </c>
      <c r="V70" s="72" t="inlineStr">
        <is>
          <t>Carbov Эдуард — оформление армянское</t>
        </is>
      </c>
      <c r="W70" s="72" t="inlineStr">
        <is>
          <t>—</t>
        </is>
      </c>
      <c r="X70" s="72" t="inlineStr">
        <is>
          <t>—</t>
        </is>
      </c>
      <c r="Y70" s="73" t="inlineStr">
        <is>
          <t>— не удалось определить</t>
        </is>
      </c>
    </row>
    <row r="71" ht="49.5" customHeight="1" s="64">
      <c r="A71" s="88" t="n">
        <v>70</v>
      </c>
      <c r="B71" s="84" t="inlineStr">
        <is>
          <t>Avito (Краснодар)</t>
        </is>
      </c>
      <c r="C71" s="88" t="n">
        <v>2023</v>
      </c>
      <c r="D71" s="88" t="inlineStr">
        <is>
          <t>н/д</t>
        </is>
      </c>
      <c r="E71" s="84" t="inlineStr">
        <is>
          <t>Performance</t>
        </is>
      </c>
      <c r="F71" s="88" t="n">
        <v>41000</v>
      </c>
      <c r="G71" s="84" t="inlineStr">
        <is>
          <t>н/д</t>
        </is>
      </c>
      <c r="H71" s="84" t="inlineStr">
        <is>
          <t>н/д</t>
        </is>
      </c>
      <c r="I71" s="84" t="inlineStr">
        <is>
          <t>б/у отличное</t>
        </is>
      </c>
      <c r="J71" s="88" t="inlineStr">
        <is>
          <t>Нет</t>
        </is>
      </c>
      <c r="K71" s="88" t="inlineStr">
        <is>
          <t>Базовый</t>
        </is>
      </c>
      <c r="L71" s="84" t="inlineStr">
        <is>
          <t>Керчь (Крым)</t>
        </is>
      </c>
      <c r="M71" s="89" t="n">
        <v>2490000</v>
      </c>
      <c r="N71" s="89">
        <f>IF(OR(ISNUMBER(SEARCH("Физлицо",O71)),ISNUMBER(SEARCH("Частник",O71))),M71,M71/1.20)</f>
        <v/>
      </c>
      <c r="O71" s="84" t="inlineStr">
        <is>
          <t>Юрлицо: Карибов Эдуард</t>
        </is>
      </c>
      <c r="P71" s="84" t="inlineStr">
        <is>
          <t>Импорт под заказ</t>
        </is>
      </c>
      <c r="Q71" s="84" t="inlineStr">
        <is>
          <t>Карибов Эдуард</t>
        </is>
      </c>
      <c r="R71" s="90" t="inlineStr">
        <is>
          <t>https://www.avito.ru/perm/avtomobili/tesla_model_y_at_2023_29_123_km_4231896377</t>
        </is>
      </c>
      <c r="S71" s="88" t="inlineStr">
        <is>
          <t>Активно</t>
        </is>
      </c>
      <c r="T71" s="84" t="inlineStr">
        <is>
          <t>Чистый Performance, броня, обслужена, мишка пилот спорт 4; ВНИМАНИЕ: это **Long Range FL (рестайл) 431 л.с., 688 км запас**, **НЕ Performance**! 2 эл. мотора. Ноябрь 2023. С полным НДС 22%. Ауди Центр Пермь, шоссе Космонавтов 399Б/1, на Авито с 2014, 16 объявлений, рейтинг 4.6, 20 отзывов, надёжный партнёр. Кузов в полиуретановой плёнке + лобовое; **ВНИМАНИЕ**: это НЕ Performance (как в моей таблице), а Long Range FL (Juniper) 431 л.с., разгон 4,7 сек, запас 688 км. Пермь, ш. Космонавтов, 399Б/1. Дилер Ауди Центр Пермь, 4,6 (20 отзывов), на Авито с 2014. С полным НДС 22%, 1 собственник, кузов полностью в полиуретановой плёнке + лобовое стекло, выехал с завода 28.11.2023</t>
        </is>
      </c>
      <c r="U71" s="84" t="inlineStr">
        <is>
          <t>Покупка автомобиля у официального дилера Ауди Центр Пермь — ваша гарантия безопасной сделки. Мы предлагаем: индивидуальное ценовое и финансовое предложение, обмен по программе трейд-ин, привлекательные кредитные программы, широкий выбор эксклюзивных комплектаций, большой выбор автомобилей в наличии, прозрачная юридическая и сервисная история. Об автомобиле: с полным НДС 22%; куплен новым, без пробега, привезён в РФ под заказ; подтверждённый пробег; 1 собственник; эксплуатация с 2024 года, регистрация в ГИБДД с 15 марта 2024 — н.в.; без ДТП; кузов полностью оклеен полиуретановой плёнкой + лобовое стекло. Технические характеристики: год выпуска ноябрь 2023; кол-во эл. моторов 2; тип привода 4x4 (полный); тип топлива электрический; макс. пиковая мощность 431 л.с.; мощность 153 кВт (указана ЭПТС); запас хода 688 км; разгон до 100 км/ч 4,7 сек. Авто выехал с завода 28 ноября 2023 года. Model Y FL содержит несколько улучшений: многоцветное окружающее освещение, обновлённая приборная панель, новый дизайн колёс, улучшенное ускорение, запас хода увеличен с 660 км до 688 км.</t>
        </is>
      </c>
      <c r="V71" s="72" t="inlineStr">
        <is>
          <t>Long Range FL Juniper (не Performance!) — Audi Центр</t>
        </is>
      </c>
      <c r="W71" s="72" t="inlineStr">
        <is>
          <t>—</t>
        </is>
      </c>
      <c r="X71" s="72" t="inlineStr">
        <is>
          <t>—</t>
        </is>
      </c>
      <c r="Y71" s="73" t="inlineStr">
        <is>
          <t>— не удалось определить</t>
        </is>
      </c>
    </row>
    <row r="72" ht="49.5" customHeight="1" s="64">
      <c r="A72" s="77" t="n">
        <v>71</v>
      </c>
      <c r="B72" s="78" t="inlineStr">
        <is>
          <t>Avito (Пермь, Audi центр)</t>
        </is>
      </c>
      <c r="C72" s="77" t="n">
        <v>2023</v>
      </c>
      <c r="D72" s="77" t="inlineStr">
        <is>
          <t>н/д</t>
        </is>
      </c>
      <c r="E72" s="78" t="inlineStr">
        <is>
          <t>Performance 514 л.с.</t>
        </is>
      </c>
      <c r="F72" s="77" t="n">
        <v>29123</v>
      </c>
      <c r="G72" s="78" t="inlineStr">
        <is>
          <t>н/д</t>
        </is>
      </c>
      <c r="H72" s="78" t="inlineStr">
        <is>
          <t>н/д</t>
        </is>
      </c>
      <c r="I72" s="78" t="inlineStr">
        <is>
          <t>б/у отличное</t>
        </is>
      </c>
      <c r="J72" s="77" t="inlineStr">
        <is>
          <t>Нет</t>
        </is>
      </c>
      <c r="K72" s="77" t="inlineStr">
        <is>
          <t>Базовый</t>
        </is>
      </c>
      <c r="L72" s="78" t="inlineStr">
        <is>
          <t>Пермь</t>
        </is>
      </c>
      <c r="M72" s="79" t="n">
        <v>5300000</v>
      </c>
      <c r="N72" s="70">
        <f>IF(OR(ISNUMBER(SEARCH("Физлицо",O72)),ISNUMBER(SEARCH("Частник",O72))),M72,M72/1.20)</f>
        <v/>
      </c>
      <c r="O72" s="78" t="inlineStr">
        <is>
          <t>Юрлицо: Audi центр Пермь</t>
        </is>
      </c>
      <c r="P72" s="78" t="inlineStr">
        <is>
          <t>н/д</t>
        </is>
      </c>
      <c r="Q72" s="78" t="inlineStr">
        <is>
          <t>Audi центр Пермь</t>
        </is>
      </c>
      <c r="R72" s="71" t="inlineStr">
        <is>
          <t>https://www.avito.ru/all/avtomobili/tesla/model_y-ASgBAgICAkTgtg2umSjitg22qTo?cd=1&amp;s=104</t>
        </is>
      </c>
      <c r="S72" s="77" t="inlineStr">
        <is>
          <t>Активно</t>
        </is>
      </c>
      <c r="T72" s="78" t="inlineStr">
        <is>
          <t>Официальный дилер, 1 владелец</t>
        </is>
      </c>
      <c r="U72" s="78" t="inlineStr">
        <is>
          <t>Комплектация с 3-м рядом сидений — 7-местный салон. Дополнительно установлена качественная шумоизоляция, доводчики дверей и автоматическое открывание двери водителя. Магнитогорск, ИП.</t>
        </is>
      </c>
      <c r="V72" s="72" t="inlineStr">
        <is>
          <t>—</t>
        </is>
      </c>
      <c r="W72" s="72" t="inlineStr">
        <is>
          <t>—</t>
        </is>
      </c>
      <c r="X72" s="72" t="inlineStr">
        <is>
          <t>—</t>
        </is>
      </c>
      <c r="Y72" s="73" t="inlineStr">
        <is>
          <t>— нет VIN для проверки</t>
        </is>
      </c>
    </row>
    <row r="73" ht="49.5" customHeight="1" s="64">
      <c r="A73" s="74" t="n">
        <v>72</v>
      </c>
      <c r="B73" s="72" t="inlineStr">
        <is>
          <t>Avito (Оренбург, ТУРИСТ-ПЛЮС)</t>
        </is>
      </c>
      <c r="C73" s="74" t="n">
        <v>2023</v>
      </c>
      <c r="D73" s="74" t="inlineStr">
        <is>
          <t>н/д</t>
        </is>
      </c>
      <c r="E73" s="72" t="inlineStr">
        <is>
          <t>Long Range AWD</t>
        </is>
      </c>
      <c r="F73" s="74" t="n">
        <v>39381</v>
      </c>
      <c r="G73" s="72" t="inlineStr">
        <is>
          <t>н/д</t>
        </is>
      </c>
      <c r="H73" s="72" t="inlineStr">
        <is>
          <t>н/д</t>
        </is>
      </c>
      <c r="I73" s="72" t="inlineStr">
        <is>
          <t>б/у отличное</t>
        </is>
      </c>
      <c r="J73" s="74" t="inlineStr">
        <is>
          <t>Нет</t>
        </is>
      </c>
      <c r="K73" s="74" t="inlineStr">
        <is>
          <t>Базовый</t>
        </is>
      </c>
      <c r="L73" s="72" t="inlineStr">
        <is>
          <t>Оренбург</t>
        </is>
      </c>
      <c r="M73" s="75" t="n">
        <v>4998000</v>
      </c>
      <c r="N73" s="70">
        <f>IF(OR(ISNUMBER(SEARCH("Физлицо",O73)),ISNUMBER(SEARCH("Частник",O73))),M73,M73/1.20)</f>
        <v/>
      </c>
      <c r="O73" s="72" t="inlineStr">
        <is>
          <t>Юрлицо: ТУРИСТ-ПЛЮС</t>
        </is>
      </c>
      <c r="P73" s="72" t="inlineStr">
        <is>
          <t>н/д</t>
        </is>
      </c>
      <c r="Q73" s="72" t="inlineStr">
        <is>
          <t>ТУРИСТ-ПЛЮС</t>
        </is>
      </c>
      <c r="R73" s="71" t="inlineStr">
        <is>
          <t>https://www.avito.ru/all/avtomobili/tesla/model_y-ASgBAgICAkTgtg2umSjitg22qTo?cd=1&amp;s=104</t>
        </is>
      </c>
      <c r="S73" s="74" t="inlineStr">
        <is>
          <t>Активно</t>
        </is>
      </c>
      <c r="T73" s="72" t="inlineStr">
        <is>
          <t>2 владельца, зелёная автотека, без ДТП</t>
        </is>
      </c>
      <c r="U73" s="72" t="inlineStr">
        <is>
          <t>Машина полностью обслужена, не требует никаких вложений, зимняя резина, вся в родной краске. Сертификаты активны, обновления приходят. Остаток батареи 95%, салон в идеале. Москва.</t>
        </is>
      </c>
      <c r="V73" s="72" t="inlineStr">
        <is>
          <t>—</t>
        </is>
      </c>
      <c r="W73" s="72" t="inlineStr">
        <is>
          <t>—</t>
        </is>
      </c>
      <c r="X73" s="72" t="inlineStr">
        <is>
          <t>—</t>
        </is>
      </c>
      <c r="Y73" s="73" t="inlineStr">
        <is>
          <t>— нет VIN для проверки</t>
        </is>
      </c>
    </row>
    <row r="74" ht="49.5" customHeight="1" s="64">
      <c r="A74" s="77" t="n">
        <v>73</v>
      </c>
      <c r="B74" s="78" t="inlineStr">
        <is>
          <t>Avito (Магнитогорск)</t>
        </is>
      </c>
      <c r="C74" s="77" t="n">
        <v>2021</v>
      </c>
      <c r="D74" s="77" t="inlineStr">
        <is>
          <t>MY22</t>
        </is>
      </c>
      <c r="E74" s="78" t="inlineStr">
        <is>
          <t>AWD Performance</t>
        </is>
      </c>
      <c r="F74" s="77" t="n">
        <v>31700</v>
      </c>
      <c r="G74" s="78" t="inlineStr">
        <is>
          <t>белый</t>
        </is>
      </c>
      <c r="H74" s="84" t="inlineStr">
        <is>
          <t>Чёрный (Tesla базовый)</t>
        </is>
      </c>
      <c r="I74" s="78" t="inlineStr">
        <is>
          <t>б/у отличное</t>
        </is>
      </c>
      <c r="J74" s="77" t="inlineStr">
        <is>
          <t>Нет</t>
        </is>
      </c>
      <c r="K74" s="77" t="inlineStr">
        <is>
          <t>Базовый</t>
        </is>
      </c>
      <c r="L74" s="78" t="inlineStr">
        <is>
          <t>Магнитогорск</t>
        </is>
      </c>
      <c r="M74" s="79" t="n">
        <v>3400000</v>
      </c>
      <c r="N74" s="70">
        <f>IF(OR(ISNUMBER(SEARCH("Физлицо",O74)),ISNUMBER(SEARCH("Частник",O74))),M74,M74/1.20)</f>
        <v/>
      </c>
      <c r="O74" s="78" t="inlineStr">
        <is>
          <t>ИП (физлицо)</t>
        </is>
      </c>
      <c r="P74" s="78" t="inlineStr">
        <is>
          <t>США (VIN 7SAY)</t>
        </is>
      </c>
      <c r="Q74" s="78" t="inlineStr">
        <is>
          <t>ИП</t>
        </is>
      </c>
      <c r="R74" s="71" t="inlineStr">
        <is>
          <t>https://www.avito.ru/moskva/avtomobili/tesla_model_y_at_2022_130_000_km_7979073382</t>
        </is>
      </c>
      <c r="S74" s="77" t="inlineStr">
        <is>
          <t>Активно</t>
        </is>
      </c>
      <c r="T74" s="78" t="inlineStr">
        <is>
          <t>7-местная (3-й ряд), шумоизоляция, доводчики, авто открытие двери; Москва, Старокаширское ш., 4А (р-н Варшавская/Каширская). Большой пробег 130 000 км, но остаток батареи 95%, обновления приходят, родная краска; Москва, Старокаширское ш., 4А. Частное лицо. ПТС оригинал, 1 владелец, не битый. Большой пробег (130 000 км) — батарея 95%, родная краска. Дешевле оценки нейросети</t>
        </is>
      </c>
      <c r="U74" s="78" t="inlineStr">
        <is>
          <t>Машина полностью обслужена, не требует никаких вложений, зимняя резина, вся в родной краске. Сертификаты активны, обновления приходят. Остаток батареи 95%, салон в идеале.</t>
        </is>
      </c>
      <c r="V74" s="72" t="inlineStr">
        <is>
          <t>7SAY*** (Giga Texas (США))</t>
        </is>
      </c>
      <c r="W74" s="72" t="inlineStr">
        <is>
          <t>? (нет полного VIN)</t>
        </is>
      </c>
      <c r="X74" s="72" t="inlineStr">
        <is>
          <t>Austin, Texas (Giga Texas), США</t>
        </is>
      </c>
      <c r="Y74" s="80" t="inlineStr">
        <is>
          <t>✓ Завод совпадает (США)</t>
        </is>
      </c>
    </row>
    <row r="75" ht="49.5" customHeight="1" s="64">
      <c r="A75" s="74" t="n">
        <v>74</v>
      </c>
      <c r="B75" s="72" t="inlineStr">
        <is>
          <t>Avito (Москва)</t>
        </is>
      </c>
      <c r="C75" s="74" t="n">
        <v>2022</v>
      </c>
      <c r="D75" s="74" t="inlineStr">
        <is>
          <t>н/д</t>
        </is>
      </c>
      <c r="E75" s="72" t="inlineStr">
        <is>
          <t>Long Range Performance USA</t>
        </is>
      </c>
      <c r="F75" s="74" t="n">
        <v>130000</v>
      </c>
      <c r="G75" s="84" t="inlineStr">
        <is>
          <t>Серый</t>
        </is>
      </c>
      <c r="H75" s="84" t="inlineStr">
        <is>
          <t>Чёрный (Tesla базовый)</t>
        </is>
      </c>
      <c r="I75" s="72" t="inlineStr">
        <is>
          <t>б/у отличное</t>
        </is>
      </c>
      <c r="J75" s="74" t="inlineStr">
        <is>
          <t>Нет</t>
        </is>
      </c>
      <c r="K75" s="74" t="inlineStr">
        <is>
          <t>Базовый</t>
        </is>
      </c>
      <c r="L75" s="72" t="inlineStr">
        <is>
          <t>Москва</t>
        </is>
      </c>
      <c r="M75" s="75" t="n">
        <v>3600000</v>
      </c>
      <c r="N75" s="70">
        <f>IF(OR(ISNUMBER(SEARCH("Физлицо",O75)),ISNUMBER(SEARCH("Частник",O75))),M75,M75/1.20)</f>
        <v/>
      </c>
      <c r="O75" s="72" t="inlineStr">
        <is>
          <t>Физлицо</t>
        </is>
      </c>
      <c r="P75" s="72" t="inlineStr">
        <is>
          <t>Беларусь / EU (учёт РБ)</t>
        </is>
      </c>
      <c r="Q75" s="72" t="inlineStr">
        <is>
          <t>—</t>
        </is>
      </c>
      <c r="R75" s="71" t="inlineStr">
        <is>
          <t>https://www.avito.ru/minsk/avtomobili/tesla_model_y_at_2023_24_000_km_8045821626</t>
        </is>
      </c>
      <c r="S75" s="74" t="inlineStr">
        <is>
          <t>Активно</t>
        </is>
      </c>
      <c r="T75" s="72" t="inlineStr">
        <is>
          <t>Остаток батареи 95%, сертификаты активны; Минск, мкр-н Цна, Беларусь. Никита Яворский (надёжный партнёр, 14 отзывов, на Авито с 2020). Был торг с 2 980 000 до 2 920 000. **Главное**: схема через белорусский учёт без растаможки в РФ — альтернатива заплатить ~3 млн утиль и таможню в РФ; Минск, мкр-н Цна. Никита Яворский (5.0, 14 отзывов, на Авито с 2020, Надёжный партнёр). Цена была 2 980 000 — скидка 60 000. Performance 530+ л.с., 4-й автопилот, AMD Ryzen, заводской фаркоп. Поставка на учёт РФ ~+3 000 000 ₽ ИЛИ через ВНЖ РБ</t>
        </is>
      </c>
      <c r="U75" s="72" t="inlineStr">
        <is>
          <t>Максимальное исполнение Tesla Performance. Более 530 лошадиных сил, и разгон до 100 менее 3.5 секунд. Машина в наличии, в Минске, приезжай и смотри. Торг имеется! Так же будет гарантия пол года! AMD Ryzen, 4 Автопилот, сертификаты обновятся в 2027 году, приложение. Установлен заводской фаркоп. На вопрос: а как поставить на учёт в РФ:
1. Заплатить к авто ещё ~3 000 000 ₽ утиль + реэкспорт и таможню. Конфигуратор Теслы + 48%.
2. Сделать ВНЖ (или временную регистрацию) а лучше и проще по доверенности на родственника или от нас.
3. Мы в 90% случаев делаем так: или на вас оформляем, или на доверенное вами лицо. Это всё официально, под договора ДКП и акты приёма передачи. Ездить, владеть и обслуживать юридически без нарушений. Через три года продлить или снять с учёта и продать(передать). Практика показывает, что 3 года достаточно. Продлить можно дистанционно.</t>
        </is>
      </c>
      <c r="V75" s="72" t="inlineStr">
        <is>
          <t>EU (Беларусь) Performance 2023</t>
        </is>
      </c>
      <c r="W75" s="72" t="inlineStr">
        <is>
          <t>—</t>
        </is>
      </c>
      <c r="X75" s="72" t="inlineStr">
        <is>
          <t>—</t>
        </is>
      </c>
      <c r="Y75" s="73" t="inlineStr">
        <is>
          <t>— VIN/завод не определён</t>
        </is>
      </c>
    </row>
    <row r="76" ht="49.5" customHeight="1" s="64">
      <c r="A76" s="77" t="n">
        <v>75</v>
      </c>
      <c r="B76" s="78" t="inlineStr">
        <is>
          <t>Avito (Минск, Никита)</t>
        </is>
      </c>
      <c r="C76" s="77" t="n">
        <v>2023</v>
      </c>
      <c r="D76" s="77" t="inlineStr">
        <is>
          <t>н/д</t>
        </is>
      </c>
      <c r="E76" s="78" t="inlineStr">
        <is>
          <t>Performance</t>
        </is>
      </c>
      <c r="F76" s="77" t="n">
        <v>24000</v>
      </c>
      <c r="G76" s="78" t="inlineStr">
        <is>
          <t>н/д</t>
        </is>
      </c>
      <c r="H76" s="78" t="inlineStr">
        <is>
          <t>н/д</t>
        </is>
      </c>
      <c r="I76" s="78" t="inlineStr">
        <is>
          <t>б/у отличное</t>
        </is>
      </c>
      <c r="J76" s="77" t="inlineStr">
        <is>
          <t>Нет</t>
        </is>
      </c>
      <c r="K76" s="77" t="inlineStr">
        <is>
          <t>Базовый</t>
        </is>
      </c>
      <c r="L76" s="78" t="inlineStr">
        <is>
          <t>Минск (РБ)</t>
        </is>
      </c>
      <c r="M76" s="79" t="n">
        <v>2920000</v>
      </c>
      <c r="N76" s="70">
        <f>IF(OR(ISNUMBER(SEARCH("Физлицо",O76)),ISNUMBER(SEARCH("Частник",O76))),M76,M76/1.20)</f>
        <v/>
      </c>
      <c r="O76" s="78" t="inlineStr">
        <is>
          <t>Физлицо: Никита Яворский</t>
        </is>
      </c>
      <c r="P76" s="78" t="inlineStr">
        <is>
          <t>EU</t>
        </is>
      </c>
      <c r="Q76" s="78" t="inlineStr">
        <is>
          <t>Никита Яворский</t>
        </is>
      </c>
      <c r="R76" s="71" t="inlineStr">
        <is>
          <t>https://www.avito.ru/all/avtomobili/tesla/model_y-ASgBAgICAkTgtg2umSjitg22qTo?cd=1&amp;s=104</t>
        </is>
      </c>
      <c r="S76" s="77" t="inlineStr">
        <is>
          <t>Активно</t>
        </is>
      </c>
      <c r="T76" s="78" t="inlineStr">
        <is>
          <t>Максимальный Performance, 530+ л.с., AMD Ryzen, 4 автопилот, гарантия полгода</t>
        </is>
      </c>
      <c r="U76" s="78" t="inlineStr">
        <is>
          <t>Авто продаётся с полным НДС 22%. Скидка 50 000 ₽ за покупку в день обращения. Цена в объявлении актуальна при покупке с любой формой оплаты (наличные/безналичные/кредит). Юридически чистый. Реальный пробег. Пройдено ТО. Москва, Ситидрайв.</t>
        </is>
      </c>
      <c r="V76" s="72" t="inlineStr">
        <is>
          <t>—</t>
        </is>
      </c>
      <c r="W76" s="72" t="inlineStr">
        <is>
          <t>—</t>
        </is>
      </c>
      <c r="X76" s="72" t="inlineStr">
        <is>
          <t>—</t>
        </is>
      </c>
      <c r="Y76" s="73" t="inlineStr">
        <is>
          <t>— нет VIN для проверки</t>
        </is>
      </c>
    </row>
    <row r="77" ht="49.5" customHeight="1" s="64">
      <c r="A77" s="74" t="n">
        <v>76</v>
      </c>
      <c r="B77" s="72" t="inlineStr">
        <is>
          <t>Avito (Краснодар, Европлан)</t>
        </is>
      </c>
      <c r="C77" s="74" t="n">
        <v>2022</v>
      </c>
      <c r="D77" s="74" t="inlineStr">
        <is>
          <t>н/д</t>
        </is>
      </c>
      <c r="E77" s="72" t="inlineStr">
        <is>
          <t>Long Range RWD (не AWD)</t>
        </is>
      </c>
      <c r="F77" s="74" t="n">
        <v>34181</v>
      </c>
      <c r="G77" s="72" t="inlineStr">
        <is>
          <t>н/д</t>
        </is>
      </c>
      <c r="H77" s="72" t="inlineStr">
        <is>
          <t>н/д</t>
        </is>
      </c>
      <c r="I77" s="72" t="inlineStr">
        <is>
          <t>б/у отличное</t>
        </is>
      </c>
      <c r="J77" s="74" t="inlineStr">
        <is>
          <t>Нет</t>
        </is>
      </c>
      <c r="K77" s="74" t="inlineStr">
        <is>
          <t>Базовый</t>
        </is>
      </c>
      <c r="L77" s="72" t="inlineStr">
        <is>
          <t>Краснодар</t>
        </is>
      </c>
      <c r="M77" s="75" t="n">
        <v>3414150</v>
      </c>
      <c r="N77" s="70">
        <f>IF(OR(ISNUMBER(SEARCH("Физлицо",O77)),ISNUMBER(SEARCH("Частник",O77))),M77,M77/1.20)</f>
        <v/>
      </c>
      <c r="O77" s="72" t="inlineStr">
        <is>
          <t>Юрлицо: Европлан</t>
        </is>
      </c>
      <c r="P77" s="72" t="inlineStr">
        <is>
          <t>EU</t>
        </is>
      </c>
      <c r="Q77" s="72" t="inlineStr">
        <is>
          <t>Европлан</t>
        </is>
      </c>
      <c r="R77" s="71" t="inlineStr">
        <is>
          <t>https://www.avito.ru/all/avtomobili/tesla/model_y-ASgBAgICAkTgtg2umSjitg22qTo?cd=1&amp;s=104</t>
        </is>
      </c>
      <c r="S77" s="74" t="inlineStr">
        <is>
          <t>Активно</t>
        </is>
      </c>
      <c r="T77" s="72" t="inlineStr">
        <is>
          <t>Лот Нна/639800, лизинговая компания Европлан, 1 владелец. ВНИМАНИЕ: задний привод</t>
        </is>
      </c>
      <c r="U77" s="72" t="inlineStr">
        <is>
          <t>В наличии в нашем автосалоне новый Tesla Model Y Long (удлинённый кузов, 6 мест). Электромобиль произведён в конце 2025 года, завезён и растаможен на юридическое лицо. Возможна продажа в лизинг, кредит, с НДС. ЭлектроДрайв, Москва.</t>
        </is>
      </c>
      <c r="V77" s="72" t="inlineStr">
        <is>
          <t>—</t>
        </is>
      </c>
      <c r="W77" s="72" t="inlineStr">
        <is>
          <t>—</t>
        </is>
      </c>
      <c r="X77" s="72" t="inlineStr">
        <is>
          <t>—</t>
        </is>
      </c>
      <c r="Y77" s="73" t="inlineStr">
        <is>
          <t>— нет VIN для проверки</t>
        </is>
      </c>
    </row>
    <row r="78" ht="49.5" customHeight="1" s="64">
      <c r="A78" s="77" t="n">
        <v>77</v>
      </c>
      <c r="B78" s="78" t="inlineStr">
        <is>
          <t>Auto.ru (Тольятти, Prado)</t>
        </is>
      </c>
      <c r="C78" s="77" t="n">
        <v>2023</v>
      </c>
      <c r="D78" s="77" t="inlineStr">
        <is>
          <t>н/д</t>
        </is>
      </c>
      <c r="E78" s="78" t="inlineStr">
        <is>
          <t>Long Range AWD I (345 л.с.)</t>
        </is>
      </c>
      <c r="F78" s="77" t="n">
        <v>12300</v>
      </c>
      <c r="G78" s="78" t="inlineStr">
        <is>
          <t>белый</t>
        </is>
      </c>
      <c r="H78" s="78" t="inlineStr">
        <is>
          <t>н/д</t>
        </is>
      </c>
      <c r="I78" s="78" t="inlineStr">
        <is>
          <t>б/у отличное</t>
        </is>
      </c>
      <c r="J78" s="77" t="inlineStr">
        <is>
          <t>Нет</t>
        </is>
      </c>
      <c r="K78" s="77" t="inlineStr">
        <is>
          <t>Базовый</t>
        </is>
      </c>
      <c r="L78" s="78" t="inlineStr">
        <is>
          <t>Тольятти</t>
        </is>
      </c>
      <c r="M78" s="79" t="n">
        <v>5500000</v>
      </c>
      <c r="N78" s="70">
        <f>IF(OR(ISNUMBER(SEARCH("Физлицо",O78)),ISNUMBER(SEARCH("Частник",O78))),M78,M78/1.20)</f>
        <v/>
      </c>
      <c r="O78" s="78" t="inlineStr">
        <is>
          <t>Юрлицо: Prado (дилер)</t>
        </is>
      </c>
      <c r="P78" s="78" t="inlineStr">
        <is>
          <t>н/д</t>
        </is>
      </c>
      <c r="Q78" s="78" t="inlineStr">
        <is>
          <t>Prado</t>
        </is>
      </c>
      <c r="R78" s="71" t="inlineStr">
        <is>
          <t>https://auto.ru/cars/tesla/model_y/all/?year_from=2022&amp;gear_type=ALL_WHEEL_DRIVE</t>
        </is>
      </c>
      <c r="S78" s="77" t="inlineStr">
        <is>
          <t>Активно</t>
        </is>
      </c>
      <c r="T78" s="78" t="inlineStr">
        <is>
          <t>Заряд 451 км, малый пробег, дилер</t>
        </is>
      </c>
      <c r="U78" s="78" t="inlineStr">
        <is>
          <t>Tesla Model Y Long Range I, 2023, белый. Один владелец, состояние отличное, малый пробег. Дилер Prado, Тольятти.</t>
        </is>
      </c>
      <c r="V78" s="72" t="inlineStr">
        <is>
          <t>—</t>
        </is>
      </c>
      <c r="W78" s="72" t="inlineStr">
        <is>
          <t>—</t>
        </is>
      </c>
      <c r="X78" s="72" t="inlineStr">
        <is>
          <t>—</t>
        </is>
      </c>
      <c r="Y78" s="73" t="inlineStr">
        <is>
          <t>— нет VIN для проверки</t>
        </is>
      </c>
    </row>
    <row r="79" ht="49.5" customHeight="1" s="64">
      <c r="A79" s="74" t="n">
        <v>78</v>
      </c>
      <c r="B79" s="72" t="inlineStr">
        <is>
          <t>Auto.ru (Самара, Royaleks)</t>
        </is>
      </c>
      <c r="C79" s="74" t="n">
        <v>2025</v>
      </c>
      <c r="D79" s="74" t="inlineStr">
        <is>
          <t>н/д</t>
        </is>
      </c>
      <c r="E79" s="72" t="inlineStr">
        <is>
          <t>Long Range AWD I Рестайлинг (Juniper)</t>
        </is>
      </c>
      <c r="F79" s="74" t="n">
        <v>0</v>
      </c>
      <c r="G79" s="72" t="inlineStr">
        <is>
          <t>белый</t>
        </is>
      </c>
      <c r="H79" s="72" t="inlineStr">
        <is>
          <t>н/д</t>
        </is>
      </c>
      <c r="I79" s="72" t="inlineStr">
        <is>
          <t>Новый</t>
        </is>
      </c>
      <c r="J79" s="74" t="inlineStr">
        <is>
          <t>Нет</t>
        </is>
      </c>
      <c r="K79" s="74" t="inlineStr">
        <is>
          <t>Базовый</t>
        </is>
      </c>
      <c r="L79" s="72" t="inlineStr">
        <is>
          <t>Самара (Московское ш., 17)</t>
        </is>
      </c>
      <c r="M79" s="75" t="n">
        <v>7639800</v>
      </c>
      <c r="N79" s="70">
        <f>IF(OR(ISNUMBER(SEARCH("Физлицо",O79)),ISNUMBER(SEARCH("Частник",O79))),M79,M79/1.20)</f>
        <v/>
      </c>
      <c r="O79" s="72" t="inlineStr">
        <is>
          <t>Юрлицо: Royaleks (дилер, 586 авто)</t>
        </is>
      </c>
      <c r="P79" s="72" t="inlineStr">
        <is>
          <t>EU/Китай</t>
        </is>
      </c>
      <c r="Q79" s="72" t="inlineStr">
        <is>
          <t>Royaleks</t>
        </is>
      </c>
      <c r="R79" s="71" t="inlineStr">
        <is>
          <t>https://auto.ru/cars/tesla/model_y/all/?year_from=2022&amp;gear_type=ALL_WHEEL_DRIVE</t>
        </is>
      </c>
      <c r="S79" s="74" t="inlineStr">
        <is>
          <t>Под заказ</t>
        </is>
      </c>
      <c r="T79" s="72" t="inlineStr">
        <is>
          <t>Juniper рестайлинг, заряд 719 км, 450 л.с.</t>
        </is>
      </c>
      <c r="U79" s="72" t="inlineStr">
        <is>
          <t>Tesla Model Y Long Range I Рестайлинг (Juniper), 2025. 450 л.с., 331 кВт, заряд на 719 км. Полный привод. Под заказ. Дилер Royaleks, Самара, Московское шоссе, 17.</t>
        </is>
      </c>
      <c r="V79" s="72" t="inlineStr">
        <is>
          <t>—</t>
        </is>
      </c>
      <c r="W79" s="72" t="inlineStr">
        <is>
          <t>—</t>
        </is>
      </c>
      <c r="X79" s="72" t="inlineStr">
        <is>
          <t>—</t>
        </is>
      </c>
      <c r="Y79" s="73" t="inlineStr">
        <is>
          <t>— нет VIN для проверки</t>
        </is>
      </c>
    </row>
    <row r="80" ht="49.5" customHeight="1" s="64">
      <c r="A80" s="77" t="n">
        <v>79</v>
      </c>
      <c r="B80" s="78" t="inlineStr">
        <is>
          <t>Auto.ru (Самара, Royaleks)</t>
        </is>
      </c>
      <c r="C80" s="77" t="n">
        <v>2025</v>
      </c>
      <c r="D80" s="77" t="inlineStr">
        <is>
          <t>н/д</t>
        </is>
      </c>
      <c r="E80" s="78" t="inlineStr">
        <is>
          <t>Long Range AWD I Рестайлинг (Juniper)</t>
        </is>
      </c>
      <c r="F80" s="77" t="n">
        <v>0</v>
      </c>
      <c r="G80" s="78" t="inlineStr">
        <is>
          <t>красный</t>
        </is>
      </c>
      <c r="H80" s="78" t="inlineStr">
        <is>
          <t>н/д</t>
        </is>
      </c>
      <c r="I80" s="78" t="inlineStr">
        <is>
          <t>Новый</t>
        </is>
      </c>
      <c r="J80" s="77" t="inlineStr">
        <is>
          <t>Нет</t>
        </is>
      </c>
      <c r="K80" s="77" t="inlineStr">
        <is>
          <t>Базовый</t>
        </is>
      </c>
      <c r="L80" s="78" t="inlineStr">
        <is>
          <t>Самара (Московское ш., 17)</t>
        </is>
      </c>
      <c r="M80" s="79" t="n">
        <v>7639800</v>
      </c>
      <c r="N80" s="70">
        <f>IF(OR(ISNUMBER(SEARCH("Физлицо",O80)),ISNUMBER(SEARCH("Частник",O80))),M80,M80/1.20)</f>
        <v/>
      </c>
      <c r="O80" s="78" t="inlineStr">
        <is>
          <t>Юрлицо: Royaleks (дилер)</t>
        </is>
      </c>
      <c r="P80" s="78" t="inlineStr">
        <is>
          <t>EU/Китай</t>
        </is>
      </c>
      <c r="Q80" s="78" t="inlineStr">
        <is>
          <t>Royaleks</t>
        </is>
      </c>
      <c r="R80" s="71" t="inlineStr">
        <is>
          <t>https://auto.ru/cars/tesla/model_y/all/?year_from=2022&amp;gear_type=ALL_WHEEL_DRIVE</t>
        </is>
      </c>
      <c r="S80" s="77" t="inlineStr">
        <is>
          <t>Под заказ</t>
        </is>
      </c>
      <c r="T80" s="78" t="inlineStr">
        <is>
          <t>Juniper рестайлинг, заряд 719 км, 450 л.с.</t>
        </is>
      </c>
      <c r="U80" s="78" t="inlineStr">
        <is>
          <t>Tesla Model Y Long Range I Рестайлинг (Juniper), 2025, красный. 450 л.с., заряд 719 км, полный привод. Под заказ. Royaleks, Самара.</t>
        </is>
      </c>
      <c r="V80" s="72" t="inlineStr">
        <is>
          <t>—</t>
        </is>
      </c>
      <c r="W80" s="72" t="inlineStr">
        <is>
          <t>—</t>
        </is>
      </c>
      <c r="X80" s="72" t="inlineStr">
        <is>
          <t>—</t>
        </is>
      </c>
      <c r="Y80" s="73" t="inlineStr">
        <is>
          <t>— нет VIN для проверки</t>
        </is>
      </c>
    </row>
    <row r="81" ht="49.5" customHeight="1" s="64">
      <c r="A81" s="74" t="n">
        <v>80</v>
      </c>
      <c r="B81" s="72" t="inlineStr">
        <is>
          <t>Auto.ru (Самара, Royaleks)</t>
        </is>
      </c>
      <c r="C81" s="74" t="n">
        <v>2025</v>
      </c>
      <c r="D81" s="74" t="inlineStr">
        <is>
          <t>н/д</t>
        </is>
      </c>
      <c r="E81" s="72" t="inlineStr">
        <is>
          <t>Long Range AWD I Рестайлинг (Juniper)</t>
        </is>
      </c>
      <c r="F81" s="74" t="n">
        <v>0</v>
      </c>
      <c r="G81" s="72" t="inlineStr">
        <is>
          <t>серебристый</t>
        </is>
      </c>
      <c r="H81" s="72" t="inlineStr">
        <is>
          <t>н/д</t>
        </is>
      </c>
      <c r="I81" s="72" t="inlineStr">
        <is>
          <t>Новый</t>
        </is>
      </c>
      <c r="J81" s="74" t="inlineStr">
        <is>
          <t>Нет</t>
        </is>
      </c>
      <c r="K81" s="74" t="inlineStr">
        <is>
          <t>Базовый</t>
        </is>
      </c>
      <c r="L81" s="72" t="inlineStr">
        <is>
          <t>Самара (Московское ш., 17)</t>
        </is>
      </c>
      <c r="M81" s="75" t="n">
        <v>7639800</v>
      </c>
      <c r="N81" s="70">
        <f>IF(OR(ISNUMBER(SEARCH("Физлицо",O81)),ISNUMBER(SEARCH("Частник",O81))),M81,M81/1.20)</f>
        <v/>
      </c>
      <c r="O81" s="72" t="inlineStr">
        <is>
          <t>Юрлицо: Royaleks (дилер)</t>
        </is>
      </c>
      <c r="P81" s="72" t="inlineStr">
        <is>
          <t>EU/Китай</t>
        </is>
      </c>
      <c r="Q81" s="72" t="inlineStr">
        <is>
          <t>Royaleks</t>
        </is>
      </c>
      <c r="R81" s="71" t="inlineStr">
        <is>
          <t>https://auto.ru/cars/tesla/model_y/all/?year_from=2022&amp;gear_type=ALL_WHEEL_DRIVE</t>
        </is>
      </c>
      <c r="S81" s="74" t="inlineStr">
        <is>
          <t>Под заказ</t>
        </is>
      </c>
      <c r="T81" s="72" t="inlineStr">
        <is>
          <t>Juniper рестайлинг, заряд 719 км, 450 л.с.</t>
        </is>
      </c>
      <c r="U81" s="72" t="inlineStr">
        <is>
          <t>Tesla Model Y Long Range I Рестайлинг (Juniper), 2025, серебристый. 450 л.с., заряд 719 км. Под заказ. Royaleks, Самара.</t>
        </is>
      </c>
      <c r="V81" s="72" t="inlineStr">
        <is>
          <t>—</t>
        </is>
      </c>
      <c r="W81" s="72" t="inlineStr">
        <is>
          <t>—</t>
        </is>
      </c>
      <c r="X81" s="72" t="inlineStr">
        <is>
          <t>—</t>
        </is>
      </c>
      <c r="Y81" s="73" t="inlineStr">
        <is>
          <t>— нет VIN для проверки</t>
        </is>
      </c>
    </row>
    <row r="82" ht="49.5" customHeight="1" s="64">
      <c r="A82" s="77" t="n">
        <v>81</v>
      </c>
      <c r="B82" s="78" t="inlineStr">
        <is>
          <t>Auto.ru (Самара, Royaleks)</t>
        </is>
      </c>
      <c r="C82" s="77" t="n">
        <v>2025</v>
      </c>
      <c r="D82" s="77" t="inlineStr">
        <is>
          <t>н/д</t>
        </is>
      </c>
      <c r="E82" s="78" t="inlineStr">
        <is>
          <t>Long Range AWD I Рестайлинг (Juniper)</t>
        </is>
      </c>
      <c r="F82" s="77" t="n">
        <v>0</v>
      </c>
      <c r="G82" s="78" t="inlineStr">
        <is>
          <t>чёрный</t>
        </is>
      </c>
      <c r="H82" s="78" t="inlineStr">
        <is>
          <t>н/д</t>
        </is>
      </c>
      <c r="I82" s="78" t="inlineStr">
        <is>
          <t>Новый</t>
        </is>
      </c>
      <c r="J82" s="77" t="inlineStr">
        <is>
          <t>Нет</t>
        </is>
      </c>
      <c r="K82" s="77" t="inlineStr">
        <is>
          <t>Базовый</t>
        </is>
      </c>
      <c r="L82" s="78" t="inlineStr">
        <is>
          <t>Самара (Московское ш., 17)</t>
        </is>
      </c>
      <c r="M82" s="79" t="n">
        <v>7639800</v>
      </c>
      <c r="N82" s="70">
        <f>IF(OR(ISNUMBER(SEARCH("Физлицо",O82)),ISNUMBER(SEARCH("Частник",O82))),M82,M82/1.20)</f>
        <v/>
      </c>
      <c r="O82" s="78" t="inlineStr">
        <is>
          <t>Юрлицо: Royaleks (дилер)</t>
        </is>
      </c>
      <c r="P82" s="78" t="inlineStr">
        <is>
          <t>EU/Китай</t>
        </is>
      </c>
      <c r="Q82" s="78" t="inlineStr">
        <is>
          <t>Royaleks</t>
        </is>
      </c>
      <c r="R82" s="71" t="inlineStr">
        <is>
          <t>https://auto.ru/cars/tesla/model_y/all/?year_from=2022&amp;gear_type=ALL_WHEEL_DRIVE</t>
        </is>
      </c>
      <c r="S82" s="77" t="inlineStr">
        <is>
          <t>Под заказ</t>
        </is>
      </c>
      <c r="T82" s="78" t="inlineStr">
        <is>
          <t>Juniper рестайлинг, заряд 719 км, 450 л.с.</t>
        </is>
      </c>
      <c r="U82" s="78" t="inlineStr">
        <is>
          <t>Tesla Model Y Long Range I Рестайлинг (Juniper), 2025, чёрный. 450 л.с., заряд 719 км. Под заказ. Royaleks, Самара.</t>
        </is>
      </c>
      <c r="V82" s="72" t="inlineStr">
        <is>
          <t>—</t>
        </is>
      </c>
      <c r="W82" s="72" t="inlineStr">
        <is>
          <t>—</t>
        </is>
      </c>
      <c r="X82" s="72" t="inlineStr">
        <is>
          <t>—</t>
        </is>
      </c>
      <c r="Y82" s="73" t="inlineStr">
        <is>
          <t>— нет VIN для проверки</t>
        </is>
      </c>
    </row>
    <row r="83" ht="49.5" customHeight="1" s="64">
      <c r="A83" s="74" t="n">
        <v>82</v>
      </c>
      <c r="B83" s="72" t="inlineStr">
        <is>
          <t>Auto.ru (Самара, Royaleks)</t>
        </is>
      </c>
      <c r="C83" s="74" t="n">
        <v>2025</v>
      </c>
      <c r="D83" s="74" t="inlineStr">
        <is>
          <t>н/д</t>
        </is>
      </c>
      <c r="E83" s="72" t="inlineStr">
        <is>
          <t>Long Range AWD I Рестайлинг (Juniper)</t>
        </is>
      </c>
      <c r="F83" s="74" t="n">
        <v>0</v>
      </c>
      <c r="G83" s="72" t="inlineStr">
        <is>
          <t>серый</t>
        </is>
      </c>
      <c r="H83" s="72" t="inlineStr">
        <is>
          <t>н/д</t>
        </is>
      </c>
      <c r="I83" s="72" t="inlineStr">
        <is>
          <t>Новый</t>
        </is>
      </c>
      <c r="J83" s="74" t="inlineStr">
        <is>
          <t>Нет</t>
        </is>
      </c>
      <c r="K83" s="74" t="inlineStr">
        <is>
          <t>Базовый</t>
        </is>
      </c>
      <c r="L83" s="72" t="inlineStr">
        <is>
          <t>Самара (Московское ш., 17)</t>
        </is>
      </c>
      <c r="M83" s="75" t="n">
        <v>7639800</v>
      </c>
      <c r="N83" s="70">
        <f>IF(OR(ISNUMBER(SEARCH("Физлицо",O83)),ISNUMBER(SEARCH("Частник",O83))),M83,M83/1.20)</f>
        <v/>
      </c>
      <c r="O83" s="72" t="inlineStr">
        <is>
          <t>Юрлицо: Royaleks (дилер)</t>
        </is>
      </c>
      <c r="P83" s="72" t="inlineStr">
        <is>
          <t>EU/Китай</t>
        </is>
      </c>
      <c r="Q83" s="72" t="inlineStr">
        <is>
          <t>Royaleks</t>
        </is>
      </c>
      <c r="R83" s="71" t="inlineStr">
        <is>
          <t>https://auto.ru/cars/tesla/model_y/all/?year_from=2022&amp;gear_type=ALL_WHEEL_DRIVE</t>
        </is>
      </c>
      <c r="S83" s="74" t="inlineStr">
        <is>
          <t>Под заказ</t>
        </is>
      </c>
      <c r="T83" s="72" t="inlineStr">
        <is>
          <t>Juniper рестайлинг, заряд 719 км, 450 л.с.</t>
        </is>
      </c>
      <c r="U83" s="72" t="inlineStr">
        <is>
          <t>Tesla Model Y Long Range I Рестайлинг (Juniper), 2025, серый. 450 л.с., заряд 719 км. Под заказ. Royaleks, Самара.</t>
        </is>
      </c>
      <c r="V83" s="72" t="inlineStr">
        <is>
          <t>—</t>
        </is>
      </c>
      <c r="W83" s="72" t="inlineStr">
        <is>
          <t>—</t>
        </is>
      </c>
      <c r="X83" s="72" t="inlineStr">
        <is>
          <t>—</t>
        </is>
      </c>
      <c r="Y83" s="73" t="inlineStr">
        <is>
          <t>— нет VIN для проверки</t>
        </is>
      </c>
    </row>
    <row r="84" ht="49.5" customHeight="1" s="64">
      <c r="A84" s="77" t="n">
        <v>83</v>
      </c>
      <c r="B84" s="78" t="inlineStr">
        <is>
          <t>Auto.ru (Ростов-на-Дону, Ван авто Юг)</t>
        </is>
      </c>
      <c r="C84" s="77" t="n">
        <v>2025</v>
      </c>
      <c r="D84" s="77" t="inlineStr">
        <is>
          <t>н/д</t>
        </is>
      </c>
      <c r="E84" s="78" t="inlineStr">
        <is>
          <t>Model Y L I Рестайлинг (Juniper, 462 л.с., 6-местный)</t>
        </is>
      </c>
      <c r="F84" s="77" t="n">
        <v>1500</v>
      </c>
      <c r="G84" s="78" t="inlineStr">
        <is>
          <t>чёрный</t>
        </is>
      </c>
      <c r="H84" s="78" t="inlineStr">
        <is>
          <t>н/д</t>
        </is>
      </c>
      <c r="I84" s="78" t="inlineStr">
        <is>
          <t>Практически новый</t>
        </is>
      </c>
      <c r="J84" s="77" t="inlineStr">
        <is>
          <t>Нет</t>
        </is>
      </c>
      <c r="K84" s="77" t="inlineStr">
        <is>
          <t>Базовый</t>
        </is>
      </c>
      <c r="L84" s="78" t="inlineStr">
        <is>
          <t>Ростов-на-Дону (ул. Текучёва, 234)</t>
        </is>
      </c>
      <c r="M84" s="79" t="n">
        <v>7740000</v>
      </c>
      <c r="N84" s="70">
        <f>IF(OR(ISNUMBER(SEARCH("Физлицо",O84)),ISNUMBER(SEARCH("Частник",O84))),M84,M84/1.20)</f>
        <v/>
      </c>
      <c r="O84" s="78" t="inlineStr">
        <is>
          <t>Юрлицо: Ван авто Юг (проверенный дилер)</t>
        </is>
      </c>
      <c r="P84" s="78" t="inlineStr">
        <is>
          <t>Китай/EU</t>
        </is>
      </c>
      <c r="Q84" s="78" t="inlineStr">
        <is>
          <t>Ван авто Юг</t>
        </is>
      </c>
      <c r="R84" s="71" t="inlineStr">
        <is>
          <t>https://auto.ru/cars/tesla/model_y/all/?year_from=2022&amp;gear_type=ALL_WHEEL_DRIVE</t>
        </is>
      </c>
      <c r="S84" s="77" t="inlineStr">
        <is>
          <t>Под заказ</t>
        </is>
      </c>
      <c r="T84" s="78" t="inlineStr">
        <is>
          <t>Juniper L (удлинённый, 6 мест), заряд 751 км, малый пробег</t>
        </is>
      </c>
      <c r="U84" s="78" t="inlineStr">
        <is>
          <t>Tesla Model Y L I Рестайлинг (Juniper L, удлинённый 6-местный), 2025, чёрный. 462 л.с., 340 кВт, заряд на 751 км. Пробег 1500 км. Под заказ. Проверенный продавец Ван авто Юг, Ростов-на-Дону, ул. Текучёва, 234.</t>
        </is>
      </c>
      <c r="V84" s="72" t="inlineStr">
        <is>
          <t>—</t>
        </is>
      </c>
      <c r="W84" s="72" t="inlineStr">
        <is>
          <t>—</t>
        </is>
      </c>
      <c r="X84" s="72" t="inlineStr">
        <is>
          <t>—</t>
        </is>
      </c>
      <c r="Y84" s="73" t="inlineStr">
        <is>
          <t>— нет VIN для проверки</t>
        </is>
      </c>
    </row>
    <row r="85" ht="49.5" customHeight="1" s="64">
      <c r="A85" s="74" t="n">
        <v>84</v>
      </c>
      <c r="B85" s="72" t="inlineStr">
        <is>
          <t>Auto.ru (Минск)</t>
        </is>
      </c>
      <c r="C85" s="74" t="n">
        <v>2023</v>
      </c>
      <c r="D85" s="74" t="inlineStr">
        <is>
          <t>н/д</t>
        </is>
      </c>
      <c r="E85" s="72" t="inlineStr">
        <is>
          <t>Performance I</t>
        </is>
      </c>
      <c r="F85" s="74" t="n">
        <v>11000</v>
      </c>
      <c r="G85" s="72" t="inlineStr">
        <is>
          <t>серый</t>
        </is>
      </c>
      <c r="H85" s="72" t="inlineStr">
        <is>
          <t>н/д</t>
        </is>
      </c>
      <c r="I85" s="72" t="inlineStr">
        <is>
          <t>б/у отличное</t>
        </is>
      </c>
      <c r="J85" s="74" t="inlineStr">
        <is>
          <t>Нет</t>
        </is>
      </c>
      <c r="K85" s="74" t="inlineStr">
        <is>
          <t>Базовый</t>
        </is>
      </c>
      <c r="L85" s="72" t="inlineStr">
        <is>
          <t>Минск (Беларусь)</t>
        </is>
      </c>
      <c r="M85" s="75" t="n">
        <v>2767086</v>
      </c>
      <c r="N85" s="70">
        <f>IF(OR(ISNUMBER(SEARCH("Физлицо",O85)),ISNUMBER(SEARCH("Частник",O85))),M85,M85/1.20)</f>
        <v/>
      </c>
      <c r="O85" s="72" t="inlineStr">
        <is>
          <t>Физлицо: Евгений</t>
        </is>
      </c>
      <c r="P85" s="72" t="inlineStr">
        <is>
          <t>EU/Беларусь</t>
        </is>
      </c>
      <c r="Q85" s="72" t="inlineStr">
        <is>
          <t>Евгений</t>
        </is>
      </c>
      <c r="R85" s="71" t="inlineStr">
        <is>
          <t>https://auto.ru/cars/tesla/model_y/all/?year_from=2022&amp;gear_type=ALL_WHEEL_DRIVE</t>
        </is>
      </c>
      <c r="S85" s="74" t="inlineStr">
        <is>
          <t>Активно</t>
        </is>
      </c>
      <c r="T85" s="72" t="inlineStr">
        <is>
          <t>534 л.с., запас 514 км, низкая белорусская цена</t>
        </is>
      </c>
      <c r="U85" s="72" t="inlineStr">
        <is>
          <t>Tesla Model Y Performance I, 2023, серый. 534 л.с., 393 кВт, заряд на 514 км, полный привод. Пробег 11 000 км. Минск, Евгений.</t>
        </is>
      </c>
      <c r="V85" s="72" t="inlineStr">
        <is>
          <t>—</t>
        </is>
      </c>
      <c r="W85" s="72" t="inlineStr">
        <is>
          <t>—</t>
        </is>
      </c>
      <c r="X85" s="72" t="inlineStr">
        <is>
          <t>—</t>
        </is>
      </c>
      <c r="Y85" s="73" t="inlineStr">
        <is>
          <t>— нет VIN для проверки</t>
        </is>
      </c>
    </row>
    <row r="86" ht="49.5" customHeight="1" s="64">
      <c r="A86" s="77" t="n">
        <v>85</v>
      </c>
      <c r="B86" s="78" t="inlineStr">
        <is>
          <t>Auto.ru (Москва, Сергей С.)</t>
        </is>
      </c>
      <c r="C86" s="77" t="n">
        <v>2022</v>
      </c>
      <c r="D86" s="77" t="inlineStr">
        <is>
          <t>н/д</t>
        </is>
      </c>
      <c r="E86" s="78" t="inlineStr">
        <is>
          <t>Long Range I (431 л.с.)</t>
        </is>
      </c>
      <c r="F86" s="77" t="n">
        <v>83000</v>
      </c>
      <c r="G86" s="78" t="inlineStr">
        <is>
          <t>синий</t>
        </is>
      </c>
      <c r="H86" s="78" t="inlineStr">
        <is>
          <t>н/д</t>
        </is>
      </c>
      <c r="I86" s="78" t="inlineStr">
        <is>
          <t>б/у отличное</t>
        </is>
      </c>
      <c r="J86" s="77" t="inlineStr">
        <is>
          <t>Неизв.</t>
        </is>
      </c>
      <c r="K86" s="77" t="inlineStr">
        <is>
          <t>Базовый</t>
        </is>
      </c>
      <c r="L86" s="78" t="inlineStr">
        <is>
          <t>Москва (Поклонная ул., 9)</t>
        </is>
      </c>
      <c r="M86" s="79" t="n">
        <v>4250000</v>
      </c>
      <c r="N86" s="70">
        <f>IF(OR(ISNUMBER(SEARCH("Физлицо",O86)),ISNUMBER(SEARCH("Частник",O86))),M86,M86/1.20)</f>
        <v/>
      </c>
      <c r="O86" s="78" t="inlineStr">
        <is>
          <t>Физлицо: Сергей С.</t>
        </is>
      </c>
      <c r="P86" s="78" t="inlineStr">
        <is>
          <t>EU</t>
        </is>
      </c>
      <c r="Q86" s="78" t="inlineStr">
        <is>
          <t>Сергей С.</t>
        </is>
      </c>
      <c r="R86" s="71" t="inlineStr">
        <is>
          <t>https://auto.ru/cars/tesla/model_y/all/?year_from=2022&amp;gear_type=ALL_WHEEL_DRIVE</t>
        </is>
      </c>
      <c r="S86" s="77" t="inlineStr">
        <is>
          <t>Активно</t>
        </is>
      </c>
      <c r="T86" s="78" t="inlineStr">
        <is>
          <t>Заряд 544 км, история бесплатно</t>
        </is>
      </c>
      <c r="U86" s="78" t="inlineStr">
        <is>
          <t>Tesla Model Y Long Range I, 2022, синий. 431 л.с., 317 кВт, заряд на 544 км. Пробег 83 000 км. История авто бесплатно. Москва, Поклонная ул., 9. Сергей С.</t>
        </is>
      </c>
      <c r="V86" s="72" t="inlineStr">
        <is>
          <t>—</t>
        </is>
      </c>
      <c r="W86" s="72" t="inlineStr">
        <is>
          <t>—</t>
        </is>
      </c>
      <c r="X86" s="72" t="inlineStr">
        <is>
          <t>—</t>
        </is>
      </c>
      <c r="Y86" s="73" t="inlineStr">
        <is>
          <t>— нет VIN для проверки</t>
        </is>
      </c>
    </row>
    <row r="87" ht="49.5" customHeight="1" s="64">
      <c r="A87" s="74" t="n">
        <v>86</v>
      </c>
      <c r="B87" s="72" t="inlineStr">
        <is>
          <t>Auto.ru (Краснодар, Гнездилов В.)</t>
        </is>
      </c>
      <c r="C87" s="74" t="n">
        <v>2023</v>
      </c>
      <c r="D87" s="74" t="inlineStr">
        <is>
          <t>н/д</t>
        </is>
      </c>
      <c r="E87" s="72" t="inlineStr">
        <is>
          <t>Performance I</t>
        </is>
      </c>
      <c r="F87" s="74" t="n">
        <v>24000</v>
      </c>
      <c r="G87" s="72" t="inlineStr">
        <is>
          <t>чёрный</t>
        </is>
      </c>
      <c r="H87" s="72" t="inlineStr">
        <is>
          <t>н/д</t>
        </is>
      </c>
      <c r="I87" s="72" t="inlineStr">
        <is>
          <t>б/у отличное</t>
        </is>
      </c>
      <c r="J87" s="74" t="inlineStr">
        <is>
          <t>Нет</t>
        </is>
      </c>
      <c r="K87" s="74" t="inlineStr">
        <is>
          <t>Базовый</t>
        </is>
      </c>
      <c r="L87" s="72" t="inlineStr">
        <is>
          <t>Краснодар</t>
        </is>
      </c>
      <c r="M87" s="75" t="n">
        <v>5950000</v>
      </c>
      <c r="N87" s="70">
        <f>IF(OR(ISNUMBER(SEARCH("Физлицо",O87)),ISNUMBER(SEARCH("Частник",O87))),M87,M87/1.20)</f>
        <v/>
      </c>
      <c r="O87" s="72" t="inlineStr">
        <is>
          <t>Физлицо: Гнездилов Виктор</t>
        </is>
      </c>
      <c r="P87" s="72" t="inlineStr">
        <is>
          <t>EU</t>
        </is>
      </c>
      <c r="Q87" s="72" t="inlineStr">
        <is>
          <t>Гнездилов В.</t>
        </is>
      </c>
      <c r="R87" s="71" t="inlineStr">
        <is>
          <t>https://auto.ru/cars/tesla/model_y/all/?year_from=2022&amp;gear_type=ALL_WHEEL_DRIVE</t>
        </is>
      </c>
      <c r="S87" s="74" t="inlineStr">
        <is>
          <t>Активно</t>
        </is>
      </c>
      <c r="T87" s="72" t="inlineStr">
        <is>
          <t>534 л.с., 514 км</t>
        </is>
      </c>
      <c r="U87" s="72" t="inlineStr">
        <is>
          <t>Tesla Model Y Performance I, 2023, чёрный. 534 л.с., заряд 514 км. Пробег 24 000 км. История авто бесплатно. Краснодар, Гнездилов Виктор.</t>
        </is>
      </c>
      <c r="V87" s="72" t="inlineStr">
        <is>
          <t>—</t>
        </is>
      </c>
      <c r="W87" s="72" t="inlineStr">
        <is>
          <t>—</t>
        </is>
      </c>
      <c r="X87" s="72" t="inlineStr">
        <is>
          <t>—</t>
        </is>
      </c>
      <c r="Y87" s="73" t="inlineStr">
        <is>
          <t>— нет VIN для проверки</t>
        </is>
      </c>
    </row>
    <row r="88" ht="49.5" customHeight="1" s="64">
      <c r="A88" s="77" t="n">
        <v>87</v>
      </c>
      <c r="B88" s="78" t="inlineStr">
        <is>
          <t>Auto.ru (Гродно)</t>
        </is>
      </c>
      <c r="C88" s="77" t="n">
        <v>2022</v>
      </c>
      <c r="D88" s="77" t="inlineStr">
        <is>
          <t>н/д</t>
        </is>
      </c>
      <c r="E88" s="78" t="inlineStr">
        <is>
          <t>Long Range Dual Motor I</t>
        </is>
      </c>
      <c r="F88" s="77" t="n">
        <v>80000</v>
      </c>
      <c r="G88" s="78" t="inlineStr">
        <is>
          <t>чёрный</t>
        </is>
      </c>
      <c r="H88" s="78" t="inlineStr">
        <is>
          <t>н/д</t>
        </is>
      </c>
      <c r="I88" s="78" t="inlineStr">
        <is>
          <t>б/у отличное</t>
        </is>
      </c>
      <c r="J88" s="77" t="inlineStr">
        <is>
          <t>Нет</t>
        </is>
      </c>
      <c r="K88" s="77" t="inlineStr">
        <is>
          <t>Базовый</t>
        </is>
      </c>
      <c r="L88" s="78" t="inlineStr">
        <is>
          <t>Гродно (Беларусь, ул. Суворова, 312)</t>
        </is>
      </c>
      <c r="M88" s="79" t="n">
        <v>2500000</v>
      </c>
      <c r="N88" s="70">
        <f>IF(OR(ISNUMBER(SEARCH("Физлицо",O88)),ISNUMBER(SEARCH("Частник",O88))),M88,M88/1.20)</f>
        <v/>
      </c>
      <c r="O88" s="78" t="inlineStr">
        <is>
          <t>Физлицо (частное)</t>
        </is>
      </c>
      <c r="P88" s="78" t="inlineStr">
        <is>
          <t>EU</t>
        </is>
      </c>
      <c r="Q88" s="78" t="inlineStr">
        <is>
          <t>—</t>
        </is>
      </c>
      <c r="R88" s="71" t="inlineStr">
        <is>
          <t>https://auto.ru/cars/tesla/model_y/all/?year_from=2022&amp;gear_type=ALL_WHEEL_DRIVE</t>
        </is>
      </c>
      <c r="S88" s="77" t="inlineStr">
        <is>
          <t>Активно</t>
        </is>
      </c>
      <c r="T88" s="78" t="inlineStr">
        <is>
          <t>Без пробега по РФ, 514 л.с., 533 км</t>
        </is>
      </c>
      <c r="U88" s="78" t="inlineStr">
        <is>
          <t>Tesla Model Y Long Range Dual Motor I, 2022, чёрный. 514 л.с., заряд 533 км. Пробег 80 000 км. Без пробега по РФ. Гродно, частное лицо.</t>
        </is>
      </c>
      <c r="V88" s="72" t="inlineStr">
        <is>
          <t>—</t>
        </is>
      </c>
      <c r="W88" s="72" t="inlineStr">
        <is>
          <t>—</t>
        </is>
      </c>
      <c r="X88" s="72" t="inlineStr">
        <is>
          <t>—</t>
        </is>
      </c>
      <c r="Y88" s="73" t="inlineStr">
        <is>
          <t>— нет VIN для проверки</t>
        </is>
      </c>
    </row>
    <row r="89" ht="49.5" customHeight="1" s="64">
      <c r="A89" s="74" t="n">
        <v>88</v>
      </c>
      <c r="B89" s="72" t="inlineStr">
        <is>
          <t>Auto.ru (Москва, Кожуховский пр.)</t>
        </is>
      </c>
      <c r="C89" s="74" t="n">
        <v>2022</v>
      </c>
      <c r="D89" s="74" t="inlineStr">
        <is>
          <t>н/д</t>
        </is>
      </c>
      <c r="E89" s="72" t="inlineStr">
        <is>
          <t>Performance I (собственник)</t>
        </is>
      </c>
      <c r="F89" s="74" t="n">
        <v>50000</v>
      </c>
      <c r="G89" s="72" t="inlineStr">
        <is>
          <t>чёрный</t>
        </is>
      </c>
      <c r="H89" s="72" t="inlineStr">
        <is>
          <t>н/д</t>
        </is>
      </c>
      <c r="I89" s="72" t="inlineStr">
        <is>
          <t>б/у отличное</t>
        </is>
      </c>
      <c r="J89" s="74" t="inlineStr">
        <is>
          <t>Нет</t>
        </is>
      </c>
      <c r="K89" s="74" t="inlineStr">
        <is>
          <t>Базовый</t>
        </is>
      </c>
      <c r="L89" s="72" t="inlineStr">
        <is>
          <t>Москва (1-й Кожуховский проезд)</t>
        </is>
      </c>
      <c r="M89" s="75" t="n">
        <v>4700000</v>
      </c>
      <c r="N89" s="70">
        <f>IF(OR(ISNUMBER(SEARCH("Физлицо",O89)),ISNUMBER(SEARCH("Частник",O89))),M89,M89/1.20)</f>
        <v/>
      </c>
      <c r="O89" s="72" t="inlineStr">
        <is>
          <t>Физлицо (собственник)</t>
        </is>
      </c>
      <c r="P89" s="72" t="inlineStr">
        <is>
          <t>EU/США</t>
        </is>
      </c>
      <c r="Q89" s="72" t="inlineStr">
        <is>
          <t>—</t>
        </is>
      </c>
      <c r="R89" s="71" t="inlineStr">
        <is>
          <t>https://auto.ru/cars/tesla/model_y/all/?year_from=2022&amp;gear_type=ALL_WHEEL_DRIVE</t>
        </is>
      </c>
      <c r="S89" s="74" t="inlineStr">
        <is>
          <t>Активно</t>
        </is>
      </c>
      <c r="T89" s="72" t="inlineStr">
        <is>
          <t>От собственника, 534 л.с.</t>
        </is>
      </c>
      <c r="U89" s="72" t="inlineStr">
        <is>
          <t>Tesla Model Y Performance I, 2022, чёрный. 534 л.с., заряд 514 км. Пробег 50 000 км. От собственника. Москва, 1-й Кожуховский проезд.</t>
        </is>
      </c>
      <c r="V89" s="72" t="inlineStr">
        <is>
          <t>—</t>
        </is>
      </c>
      <c r="W89" s="72" t="inlineStr">
        <is>
          <t>—</t>
        </is>
      </c>
      <c r="X89" s="72" t="inlineStr">
        <is>
          <t>—</t>
        </is>
      </c>
      <c r="Y89" s="73" t="inlineStr">
        <is>
          <t>— нет VIN для проверки</t>
        </is>
      </c>
    </row>
    <row r="90" ht="49.5" customHeight="1" s="64">
      <c r="A90" s="77" t="n">
        <v>89</v>
      </c>
      <c r="B90" s="78" t="inlineStr">
        <is>
          <t>Auto.ru (Подольск, Иван)</t>
        </is>
      </c>
      <c r="C90" s="77" t="n">
        <v>2022</v>
      </c>
      <c r="D90" s="77" t="inlineStr">
        <is>
          <t>н/д</t>
        </is>
      </c>
      <c r="E90" s="78" t="inlineStr">
        <is>
          <t>Long Range Dual Motor I</t>
        </is>
      </c>
      <c r="F90" s="77" t="n">
        <v>28000</v>
      </c>
      <c r="G90" s="78" t="inlineStr">
        <is>
          <t>чёрный</t>
        </is>
      </c>
      <c r="H90" s="78" t="inlineStr">
        <is>
          <t>н/д</t>
        </is>
      </c>
      <c r="I90" s="78" t="inlineStr">
        <is>
          <t>б/у отличное</t>
        </is>
      </c>
      <c r="J90" s="77" t="inlineStr">
        <is>
          <t>Нет</t>
        </is>
      </c>
      <c r="K90" s="77" t="inlineStr">
        <is>
          <t>Базовый</t>
        </is>
      </c>
      <c r="L90" s="78" t="inlineStr">
        <is>
          <t>Подольск (сквер А.С. Пушкина)</t>
        </is>
      </c>
      <c r="M90" s="79" t="n">
        <v>4100000</v>
      </c>
      <c r="N90" s="70">
        <f>IF(OR(ISNUMBER(SEARCH("Физлицо",O90)),ISNUMBER(SEARCH("Частник",O90))),M90,M90/1.20)</f>
        <v/>
      </c>
      <c r="O90" s="78" t="inlineStr">
        <is>
          <t>Физлицо: Иван</t>
        </is>
      </c>
      <c r="P90" s="78" t="inlineStr">
        <is>
          <t>EU</t>
        </is>
      </c>
      <c r="Q90" s="78" t="inlineStr">
        <is>
          <t>Иван</t>
        </is>
      </c>
      <c r="R90" s="71" t="inlineStr">
        <is>
          <t>https://auto.ru/cars/tesla/model_y/all/?year_from=2022&amp;gear_type=ALL_WHEEL_DRIVE</t>
        </is>
      </c>
      <c r="S90" s="77" t="inlineStr">
        <is>
          <t>Активно</t>
        </is>
      </c>
      <c r="T90" s="78" t="inlineStr">
        <is>
          <t>Справедливая цена, 514 л.с., 533 км</t>
        </is>
      </c>
      <c r="U90" s="78" t="inlineStr">
        <is>
          <t>Tesla Model Y Long Range Dual Motor I, 2022, чёрный. 514 л.с., заряд 533 км. Пробег 28 000 км. Справедливая цена. Подольск, сквер А.С. Пушкина. Иван.</t>
        </is>
      </c>
      <c r="V90" s="72" t="inlineStr">
        <is>
          <t>—</t>
        </is>
      </c>
      <c r="W90" s="72" t="inlineStr">
        <is>
          <t>—</t>
        </is>
      </c>
      <c r="X90" s="72" t="inlineStr">
        <is>
          <t>—</t>
        </is>
      </c>
      <c r="Y90" s="73" t="inlineStr">
        <is>
          <t>— нет VIN для проверки</t>
        </is>
      </c>
    </row>
    <row r="91" ht="49.5" customHeight="1" s="64">
      <c r="A91" s="74" t="n">
        <v>90</v>
      </c>
      <c r="B91" s="72" t="inlineStr">
        <is>
          <t>Auto.ru (Гомель, Максим)</t>
        </is>
      </c>
      <c r="C91" s="74" t="n">
        <v>2022</v>
      </c>
      <c r="D91" s="74" t="inlineStr">
        <is>
          <t>н/д</t>
        </is>
      </c>
      <c r="E91" s="72" t="inlineStr">
        <is>
          <t>Performance I</t>
        </is>
      </c>
      <c r="F91" s="74" t="n">
        <v>41000</v>
      </c>
      <c r="G91" s="72" t="inlineStr">
        <is>
          <t>синий</t>
        </is>
      </c>
      <c r="H91" s="72" t="inlineStr">
        <is>
          <t>н/д</t>
        </is>
      </c>
      <c r="I91" s="72" t="inlineStr">
        <is>
          <t>б/у отличное</t>
        </is>
      </c>
      <c r="J91" s="74" t="inlineStr">
        <is>
          <t>Нет</t>
        </is>
      </c>
      <c r="K91" s="74" t="inlineStr">
        <is>
          <t>Базовый</t>
        </is>
      </c>
      <c r="L91" s="72" t="inlineStr">
        <is>
          <t>Гомель (Беларусь)</t>
        </is>
      </c>
      <c r="M91" s="75" t="n">
        <v>2600000</v>
      </c>
      <c r="N91" s="70">
        <f>IF(OR(ISNUMBER(SEARCH("Физлицо",O91)),ISNUMBER(SEARCH("Частник",O91))),M91,M91/1.20)</f>
        <v/>
      </c>
      <c r="O91" s="72" t="inlineStr">
        <is>
          <t>Физлицо: Максим</t>
        </is>
      </c>
      <c r="P91" s="72" t="inlineStr">
        <is>
          <t>EU/Беларусь</t>
        </is>
      </c>
      <c r="Q91" s="72" t="inlineStr">
        <is>
          <t>Максим</t>
        </is>
      </c>
      <c r="R91" s="71" t="inlineStr">
        <is>
          <t>https://auto.ru/cars/tesla/model_y/all/?year_from=2022&amp;gear_type=ALL_WHEEL_DRIVE</t>
        </is>
      </c>
      <c r="S91" s="74" t="inlineStr">
        <is>
          <t>Активно</t>
        </is>
      </c>
      <c r="T91" s="72" t="inlineStr">
        <is>
          <t>534 л.с., 514 км</t>
        </is>
      </c>
      <c r="U91" s="72" t="inlineStr">
        <is>
          <t>Tesla Model Y Performance I, 2022, синий. 534 л.с., заряд 514 км. Пробег 41 000 км. Гомель, Максим.</t>
        </is>
      </c>
      <c r="V91" s="72" t="inlineStr">
        <is>
          <t>—</t>
        </is>
      </c>
      <c r="W91" s="72" t="inlineStr">
        <is>
          <t>—</t>
        </is>
      </c>
      <c r="X91" s="72" t="inlineStr">
        <is>
          <t>—</t>
        </is>
      </c>
      <c r="Y91" s="73" t="inlineStr">
        <is>
          <t>— нет VIN для проверки</t>
        </is>
      </c>
    </row>
    <row r="92" ht="49.5" customHeight="1" s="64">
      <c r="A92" s="77" t="n">
        <v>91</v>
      </c>
      <c r="B92" s="78" t="inlineStr">
        <is>
          <t>Auto.ru (Лида)</t>
        </is>
      </c>
      <c r="C92" s="77" t="n">
        <v>2022</v>
      </c>
      <c r="D92" s="77" t="inlineStr">
        <is>
          <t>н/д</t>
        </is>
      </c>
      <c r="E92" s="78" t="inlineStr">
        <is>
          <t>Long Range I (345 л.с.)</t>
        </is>
      </c>
      <c r="F92" s="77" t="n">
        <v>20000</v>
      </c>
      <c r="G92" s="78" t="inlineStr">
        <is>
          <t>белый</t>
        </is>
      </c>
      <c r="H92" s="78" t="inlineStr">
        <is>
          <t>н/д</t>
        </is>
      </c>
      <c r="I92" s="78" t="inlineStr">
        <is>
          <t>б/у отличное</t>
        </is>
      </c>
      <c r="J92" s="77" t="inlineStr">
        <is>
          <t>Нет</t>
        </is>
      </c>
      <c r="K92" s="77" t="inlineStr">
        <is>
          <t>Базовый</t>
        </is>
      </c>
      <c r="L92" s="78" t="inlineStr">
        <is>
          <t>Лида (Беларусь)</t>
        </is>
      </c>
      <c r="M92" s="79" t="n">
        <v>3000000</v>
      </c>
      <c r="N92" s="70">
        <f>IF(OR(ISNUMBER(SEARCH("Физлицо",O92)),ISNUMBER(SEARCH("Частник",O92))),M92,M92/1.20)</f>
        <v/>
      </c>
      <c r="O92" s="78" t="inlineStr">
        <is>
          <t>Физлицо (частное)</t>
        </is>
      </c>
      <c r="P92" s="78" t="inlineStr">
        <is>
          <t>EU</t>
        </is>
      </c>
      <c r="Q92" s="78" t="inlineStr">
        <is>
          <t>—</t>
        </is>
      </c>
      <c r="R92" s="71" t="inlineStr">
        <is>
          <t>https://auto.ru/cars/tesla/model_y/all/?year_from=2022&amp;gear_type=ALL_WHEEL_DRIVE</t>
        </is>
      </c>
      <c r="S92" s="77" t="inlineStr">
        <is>
          <t>Активно</t>
        </is>
      </c>
      <c r="T92" s="78" t="inlineStr">
        <is>
          <t>Без пробега по РФ, заряд 451 км</t>
        </is>
      </c>
      <c r="U92" s="78" t="inlineStr">
        <is>
          <t>Tesla Model Y Long Range I, 2022, белый. 345 л.с., 254 кВт, заряд 451 км. Пробег 20 000 км. Без пробега по РФ. Лида, частное лицо.</t>
        </is>
      </c>
      <c r="V92" s="72" t="inlineStr">
        <is>
          <t>—</t>
        </is>
      </c>
      <c r="W92" s="72" t="inlineStr">
        <is>
          <t>—</t>
        </is>
      </c>
      <c r="X92" s="72" t="inlineStr">
        <is>
          <t>—</t>
        </is>
      </c>
      <c r="Y92" s="73" t="inlineStr">
        <is>
          <t>— нет VIN для проверки</t>
        </is>
      </c>
    </row>
    <row r="93" ht="49.5" customHeight="1" s="64">
      <c r="A93" s="74" t="n">
        <v>92</v>
      </c>
      <c r="B93" s="72" t="inlineStr">
        <is>
          <t>Auto.ru (Минск, Сергей Гусаров)</t>
        </is>
      </c>
      <c r="C93" s="74" t="n">
        <v>2022</v>
      </c>
      <c r="D93" s="74" t="inlineStr">
        <is>
          <t>н/д</t>
        </is>
      </c>
      <c r="E93" s="72" t="inlineStr">
        <is>
          <t>Long Range I (431 л.с.)</t>
        </is>
      </c>
      <c r="F93" s="74" t="n">
        <v>49800</v>
      </c>
      <c r="G93" s="72" t="inlineStr">
        <is>
          <t>красный</t>
        </is>
      </c>
      <c r="H93" s="72" t="inlineStr">
        <is>
          <t>н/д</t>
        </is>
      </c>
      <c r="I93" s="72" t="inlineStr">
        <is>
          <t>б/у отличное</t>
        </is>
      </c>
      <c r="J93" s="74" t="inlineStr">
        <is>
          <t>Нет</t>
        </is>
      </c>
      <c r="K93" s="74" t="inlineStr">
        <is>
          <t>Базовый</t>
        </is>
      </c>
      <c r="L93" s="72" t="inlineStr">
        <is>
          <t>Минск (Беларусь, ЖК Петровщина)</t>
        </is>
      </c>
      <c r="M93" s="75" t="n">
        <v>3990000</v>
      </c>
      <c r="N93" s="70">
        <f>IF(OR(ISNUMBER(SEARCH("Физлицо",O93)),ISNUMBER(SEARCH("Частник",O93))),M93,M93/1.20)</f>
        <v/>
      </c>
      <c r="O93" s="72" t="inlineStr">
        <is>
          <t>Физлицо: Сергей Гусаров</t>
        </is>
      </c>
      <c r="P93" s="72" t="inlineStr">
        <is>
          <t>EU</t>
        </is>
      </c>
      <c r="Q93" s="72" t="inlineStr">
        <is>
          <t>Сергей Гусаров</t>
        </is>
      </c>
      <c r="R93" s="71" t="inlineStr">
        <is>
          <t>https://auto.ru/cars/tesla/model_y/all/?year_from=2022&amp;gear_type=ALL_WHEEL_DRIVE</t>
        </is>
      </c>
      <c r="S93" s="74" t="inlineStr">
        <is>
          <t>Активно</t>
        </is>
      </c>
      <c r="T93" s="72" t="inlineStr">
        <is>
          <t>Без пробега по РФ, заряд 544 км</t>
        </is>
      </c>
      <c r="U93" s="72" t="inlineStr">
        <is>
          <t>Tesla Model Y Long Range I, 2022, красный. 431 л.с., заряд 544 км. Пробег 49 800 км. Без пробега по РФ. Минск, ЖК Петровщина. Сергей Гусаров.</t>
        </is>
      </c>
      <c r="V93" s="72" t="inlineStr">
        <is>
          <t>—</t>
        </is>
      </c>
      <c r="W93" s="72" t="inlineStr">
        <is>
          <t>—</t>
        </is>
      </c>
      <c r="X93" s="72" t="inlineStr">
        <is>
          <t>—</t>
        </is>
      </c>
      <c r="Y93" s="73" t="inlineStr">
        <is>
          <t>— нет VIN для проверки</t>
        </is>
      </c>
    </row>
    <row r="94" ht="49.5" customHeight="1" s="64">
      <c r="A94" s="77" t="n">
        <v>93</v>
      </c>
      <c r="B94" s="78" t="inlineStr">
        <is>
          <t>Auto.ru (Пермь, частное лицо)</t>
        </is>
      </c>
      <c r="C94" s="77" t="n">
        <v>2023</v>
      </c>
      <c r="D94" s="77" t="inlineStr">
        <is>
          <t>н/д</t>
        </is>
      </c>
      <c r="E94" s="78" t="inlineStr">
        <is>
          <t>Long Range Dual Motor I</t>
        </is>
      </c>
      <c r="F94" s="77" t="n">
        <v>19000</v>
      </c>
      <c r="G94" s="78" t="inlineStr">
        <is>
          <t>белый</t>
        </is>
      </c>
      <c r="H94" s="78" t="inlineStr">
        <is>
          <t>н/д</t>
        </is>
      </c>
      <c r="I94" s="78" t="inlineStr">
        <is>
          <t>б/у отличное</t>
        </is>
      </c>
      <c r="J94" s="77" t="inlineStr">
        <is>
          <t>Нет</t>
        </is>
      </c>
      <c r="K94" s="77" t="inlineStr">
        <is>
          <t>Базовый</t>
        </is>
      </c>
      <c r="L94" s="78" t="inlineStr">
        <is>
          <t>Пермь</t>
        </is>
      </c>
      <c r="M94" s="79" t="n">
        <v>4550000</v>
      </c>
      <c r="N94" s="70">
        <f>IF(OR(ISNUMBER(SEARCH("Физлицо",O94)),ISNUMBER(SEARCH("Частник",O94))),M94,M94/1.20)</f>
        <v/>
      </c>
      <c r="O94" s="78" t="inlineStr">
        <is>
          <t>Физлицо (частное)</t>
        </is>
      </c>
      <c r="P94" s="78" t="inlineStr">
        <is>
          <t>EU</t>
        </is>
      </c>
      <c r="Q94" s="78" t="inlineStr">
        <is>
          <t>—</t>
        </is>
      </c>
      <c r="R94" s="71" t="inlineStr">
        <is>
          <t>https://auto.ru/cars/tesla/model_y/all/?year_from=2022&amp;gear_type=ALL_WHEEL_DRIVE</t>
        </is>
      </c>
      <c r="S94" s="77" t="inlineStr">
        <is>
          <t>Активно</t>
        </is>
      </c>
      <c r="T94" s="78" t="inlineStr">
        <is>
          <t>Справедливая цена, 514 л.с., 533 км</t>
        </is>
      </c>
      <c r="U94" s="78" t="inlineStr">
        <is>
          <t>Tesla Model Y Long Range Dual Motor I, 2023, белый. 514 л.с., заряд 533 км. Пробег 19 000 км. Справедливая цена. Пермь, частное лицо.</t>
        </is>
      </c>
      <c r="V94" s="72" t="inlineStr">
        <is>
          <t>—</t>
        </is>
      </c>
      <c r="W94" s="72" t="inlineStr">
        <is>
          <t>—</t>
        </is>
      </c>
      <c r="X94" s="72" t="inlineStr">
        <is>
          <t>—</t>
        </is>
      </c>
      <c r="Y94" s="73" t="inlineStr">
        <is>
          <t>— нет VIN для проверки</t>
        </is>
      </c>
    </row>
    <row r="95" ht="49.5" customHeight="1" s="64">
      <c r="A95" s="74" t="n">
        <v>94</v>
      </c>
      <c r="B95" s="72" t="inlineStr">
        <is>
          <t>Auto.ru (Минск, Виталий)</t>
        </is>
      </c>
      <c r="C95" s="74" t="n">
        <v>2024</v>
      </c>
      <c r="D95" s="74" t="inlineStr">
        <is>
          <t>н/д</t>
        </is>
      </c>
      <c r="E95" s="72" t="inlineStr">
        <is>
          <t>Long Range Dual Motor I</t>
        </is>
      </c>
      <c r="F95" s="74" t="n">
        <v>206</v>
      </c>
      <c r="G95" s="72" t="inlineStr">
        <is>
          <t>серый</t>
        </is>
      </c>
      <c r="H95" s="72" t="inlineStr">
        <is>
          <t>н/д</t>
        </is>
      </c>
      <c r="I95" s="72" t="inlineStr">
        <is>
          <t>Практически новый</t>
        </is>
      </c>
      <c r="J95" s="74" t="inlineStr">
        <is>
          <t>Нет</t>
        </is>
      </c>
      <c r="K95" s="74" t="inlineStr">
        <is>
          <t>Базовый</t>
        </is>
      </c>
      <c r="L95" s="72" t="inlineStr">
        <is>
          <t>Минск (Беларусь, Ульяновская ул.)</t>
        </is>
      </c>
      <c r="M95" s="75" t="n">
        <v>4200000</v>
      </c>
      <c r="N95" s="70">
        <f>IF(OR(ISNUMBER(SEARCH("Физлицо",O95)),ISNUMBER(SEARCH("Частник",O95))),M95,M95/1.20)</f>
        <v/>
      </c>
      <c r="O95" s="72" t="inlineStr">
        <is>
          <t>Физлицо: Виталий</t>
        </is>
      </c>
      <c r="P95" s="72" t="inlineStr">
        <is>
          <t>EU</t>
        </is>
      </c>
      <c r="Q95" s="72" t="inlineStr">
        <is>
          <t>Виталий</t>
        </is>
      </c>
      <c r="R95" s="71" t="inlineStr">
        <is>
          <t>https://auto.ru/cars/tesla/model_y/all/?year_from=2022&amp;gear_type=ALL_WHEEL_DRIVE</t>
        </is>
      </c>
      <c r="S95" s="74" t="inlineStr">
        <is>
          <t>Активно</t>
        </is>
      </c>
      <c r="T95" s="72" t="inlineStr">
        <is>
          <t>Свежий 2024, всего 206 км, 514 л.с.</t>
        </is>
      </c>
      <c r="U95" s="72" t="inlineStr">
        <is>
          <t>Tesla Model Y Long Range Dual Motor I, 2024, серый. 514 л.с., заряд 533 км. Пробег 206 км. Минск, Ульяновская ул. Виталий.</t>
        </is>
      </c>
      <c r="V95" s="72" t="inlineStr">
        <is>
          <t>—</t>
        </is>
      </c>
      <c r="W95" s="72" t="inlineStr">
        <is>
          <t>—</t>
        </is>
      </c>
      <c r="X95" s="72" t="inlineStr">
        <is>
          <t>—</t>
        </is>
      </c>
      <c r="Y95" s="73" t="inlineStr">
        <is>
          <t>— нет VIN для проверки</t>
        </is>
      </c>
    </row>
    <row r="96" ht="49.5" customHeight="1" s="64">
      <c r="A96" s="77" t="n">
        <v>95</v>
      </c>
      <c r="B96" s="78" t="inlineStr">
        <is>
          <t>Auto.ru (Южно-Сахалинск)</t>
        </is>
      </c>
      <c r="C96" s="77" t="n">
        <v>2022</v>
      </c>
      <c r="D96" s="77" t="inlineStr">
        <is>
          <t>н/д</t>
        </is>
      </c>
      <c r="E96" s="78" t="inlineStr">
        <is>
          <t>Long Range I (431 л.с.)</t>
        </is>
      </c>
      <c r="F96" s="77" t="n">
        <v>50000</v>
      </c>
      <c r="G96" s="78" t="inlineStr">
        <is>
          <t>красный</t>
        </is>
      </c>
      <c r="H96" s="78" t="inlineStr">
        <is>
          <t>н/д</t>
        </is>
      </c>
      <c r="I96" s="78" t="inlineStr">
        <is>
          <t>б/у отличное</t>
        </is>
      </c>
      <c r="J96" s="77" t="inlineStr">
        <is>
          <t>Нет</t>
        </is>
      </c>
      <c r="K96" s="77" t="inlineStr">
        <is>
          <t>Базовый</t>
        </is>
      </c>
      <c r="L96" s="78" t="inlineStr">
        <is>
          <t>Южно-Сахалинск</t>
        </is>
      </c>
      <c r="M96" s="79" t="n">
        <v>4500000</v>
      </c>
      <c r="N96" s="70">
        <f>IF(OR(ISNUMBER(SEARCH("Физлицо",O96)),ISNUMBER(SEARCH("Частник",O96))),M96,M96/1.20)</f>
        <v/>
      </c>
      <c r="O96" s="78" t="inlineStr">
        <is>
          <t>Физлицо (частное)</t>
        </is>
      </c>
      <c r="P96" s="78" t="inlineStr">
        <is>
          <t>EU</t>
        </is>
      </c>
      <c r="Q96" s="78" t="inlineStr">
        <is>
          <t>—</t>
        </is>
      </c>
      <c r="R96" s="71" t="inlineStr">
        <is>
          <t>https://auto.ru/cars/tesla/model_y/all/?year_from=2022&amp;gear_type=ALL_WHEEL_DRIVE</t>
        </is>
      </c>
      <c r="S96" s="77" t="inlineStr">
        <is>
          <t>Активно</t>
        </is>
      </c>
      <c r="T96" s="78" t="inlineStr">
        <is>
          <t>Без пробега по РФ, Дальний Восток</t>
        </is>
      </c>
      <c r="U96" s="78" t="inlineStr">
        <is>
          <t>Tesla Model Y Long Range I, 2022, красный. 431 л.с., заряд 544 км. Пробег 50 000 км. Без пробега по РФ. Южно-Сахалинск, частное лицо.</t>
        </is>
      </c>
      <c r="V96" s="72" t="inlineStr">
        <is>
          <t>—</t>
        </is>
      </c>
      <c r="W96" s="72" t="inlineStr">
        <is>
          <t>—</t>
        </is>
      </c>
      <c r="X96" s="72" t="inlineStr">
        <is>
          <t>—</t>
        </is>
      </c>
      <c r="Y96" s="73" t="inlineStr">
        <is>
          <t>— нет VIN для проверки</t>
        </is>
      </c>
    </row>
    <row r="97" ht="49.5" customHeight="1" s="64">
      <c r="A97" s="74" t="n">
        <v>96</v>
      </c>
      <c r="B97" s="72" t="inlineStr">
        <is>
          <t>Auto.ru (Москва, BMW)</t>
        </is>
      </c>
      <c r="C97" s="74" t="n">
        <v>2022</v>
      </c>
      <c r="D97" s="74" t="inlineStr">
        <is>
          <t>н/д</t>
        </is>
      </c>
      <c r="E97" s="72" t="inlineStr">
        <is>
          <t>Performance I</t>
        </is>
      </c>
      <c r="F97" s="74" t="n">
        <v>50000</v>
      </c>
      <c r="G97" s="72" t="inlineStr">
        <is>
          <t>белый</t>
        </is>
      </c>
      <c r="H97" s="72" t="inlineStr">
        <is>
          <t>н/д</t>
        </is>
      </c>
      <c r="I97" s="72" t="inlineStr">
        <is>
          <t>б/у отличное</t>
        </is>
      </c>
      <c r="J97" s="74" t="inlineStr">
        <is>
          <t>Нет</t>
        </is>
      </c>
      <c r="K97" s="74" t="inlineStr">
        <is>
          <t>Базовый</t>
        </is>
      </c>
      <c r="L97" s="72" t="inlineStr">
        <is>
          <t>Москва</t>
        </is>
      </c>
      <c r="M97" s="75" t="n">
        <v>6130000</v>
      </c>
      <c r="N97" s="70">
        <f>IF(OR(ISNUMBER(SEARCH("Физлицо",O97)),ISNUMBER(SEARCH("Частник",O97))),M97,M97/1.20)</f>
        <v/>
      </c>
      <c r="O97" s="72" t="inlineStr">
        <is>
          <t>Физлицо: BMW</t>
        </is>
      </c>
      <c r="P97" s="72" t="inlineStr">
        <is>
          <t>EU</t>
        </is>
      </c>
      <c r="Q97" s="72" t="inlineStr">
        <is>
          <t>BMW</t>
        </is>
      </c>
      <c r="R97" s="71" t="inlineStr">
        <is>
          <t>https://auto.ru/cars/tesla/model_y/all/?year_from=2022&amp;gear_type=ALL_WHEEL_DRIVE</t>
        </is>
      </c>
      <c r="S97" s="74" t="inlineStr">
        <is>
          <t>Активно</t>
        </is>
      </c>
      <c r="T97" s="72" t="inlineStr">
        <is>
          <t>От собственника, 534 л.с.</t>
        </is>
      </c>
      <c r="U97" s="72" t="inlineStr">
        <is>
          <t>Tesla Model Y Performance I, 2022, белый. 534 л.с., заряд 514 км. Пробег 50 000 км. От собственника. Москва, BMW.</t>
        </is>
      </c>
      <c r="V97" s="72" t="inlineStr">
        <is>
          <t>—</t>
        </is>
      </c>
      <c r="W97" s="72" t="inlineStr">
        <is>
          <t>—</t>
        </is>
      </c>
      <c r="X97" s="72" t="inlineStr">
        <is>
          <t>—</t>
        </is>
      </c>
      <c r="Y97" s="73" t="inlineStr">
        <is>
          <t>— нет VIN для проверки</t>
        </is>
      </c>
    </row>
    <row r="98" ht="49.5" customHeight="1" s="64">
      <c r="A98" s="77" t="n">
        <v>97</v>
      </c>
      <c r="B98" s="78" t="inlineStr">
        <is>
          <t>Auto.ru (СПб, частное лицо)</t>
        </is>
      </c>
      <c r="C98" s="77" t="n">
        <v>2023</v>
      </c>
      <c r="D98" s="77" t="inlineStr">
        <is>
          <t>н/д</t>
        </is>
      </c>
      <c r="E98" s="78" t="inlineStr">
        <is>
          <t>Performance I</t>
        </is>
      </c>
      <c r="F98" s="77" t="n">
        <v>29000</v>
      </c>
      <c r="G98" s="78" t="inlineStr">
        <is>
          <t>чёрный</t>
        </is>
      </c>
      <c r="H98" s="78" t="inlineStr">
        <is>
          <t>н/д</t>
        </is>
      </c>
      <c r="I98" s="78" t="inlineStr">
        <is>
          <t>б/у отличное</t>
        </is>
      </c>
      <c r="J98" s="77" t="inlineStr">
        <is>
          <t>Нет</t>
        </is>
      </c>
      <c r="K98" s="77" t="inlineStr">
        <is>
          <t>Базовый</t>
        </is>
      </c>
      <c r="L98" s="78" t="inlineStr">
        <is>
          <t>Санкт-Петербург</t>
        </is>
      </c>
      <c r="M98" s="79" t="n">
        <v>4850000</v>
      </c>
      <c r="N98" s="70">
        <f>IF(OR(ISNUMBER(SEARCH("Физлицо",O98)),ISNUMBER(SEARCH("Частник",O98))),M98,M98/1.20)</f>
        <v/>
      </c>
      <c r="O98" s="78" t="inlineStr">
        <is>
          <t>Физлицо (частное)</t>
        </is>
      </c>
      <c r="P98" s="78" t="inlineStr">
        <is>
          <t>EU</t>
        </is>
      </c>
      <c r="Q98" s="78" t="inlineStr">
        <is>
          <t>—</t>
        </is>
      </c>
      <c r="R98" s="71" t="inlineStr">
        <is>
          <t>https://auto.ru/cars/tesla/model_y/all/?year_from=2022&amp;gear_type=ALL_WHEEL_DRIVE</t>
        </is>
      </c>
      <c r="S98" s="77" t="inlineStr">
        <is>
          <t>Активно</t>
        </is>
      </c>
      <c r="T98" s="78" t="inlineStr">
        <is>
          <t>534 л.с., 514 км</t>
        </is>
      </c>
      <c r="U98" s="78" t="inlineStr">
        <is>
          <t>Tesla Model Y Performance I, 2023, чёрный. 534 л.с., заряд 514 км. Пробег 29 000 км. История авто бесплатно. Санкт-Петербург, частное лицо.</t>
        </is>
      </c>
      <c r="V98" s="72" t="inlineStr">
        <is>
          <t>—</t>
        </is>
      </c>
      <c r="W98" s="72" t="inlineStr">
        <is>
          <t>—</t>
        </is>
      </c>
      <c r="X98" s="72" t="inlineStr">
        <is>
          <t>—</t>
        </is>
      </c>
      <c r="Y98" s="73" t="inlineStr">
        <is>
          <t>— нет VIN для проверки</t>
        </is>
      </c>
    </row>
    <row r="99" ht="49.5" customHeight="1" s="64">
      <c r="A99" s="74" t="n">
        <v>98</v>
      </c>
      <c r="B99" s="72" t="inlineStr">
        <is>
          <t>Auto.ru (Ереван, Hayk B.)</t>
        </is>
      </c>
      <c r="C99" s="74" t="n">
        <v>2022</v>
      </c>
      <c r="D99" s="74" t="inlineStr">
        <is>
          <t>н/д</t>
        </is>
      </c>
      <c r="E99" s="72" t="inlineStr">
        <is>
          <t>Long Range Dual Motor I</t>
        </is>
      </c>
      <c r="F99" s="74" t="n">
        <v>63000</v>
      </c>
      <c r="G99" s="72" t="inlineStr">
        <is>
          <t>серый</t>
        </is>
      </c>
      <c r="H99" s="72" t="inlineStr">
        <is>
          <t>н/д</t>
        </is>
      </c>
      <c r="I99" s="72" t="inlineStr">
        <is>
          <t>б/у отличное</t>
        </is>
      </c>
      <c r="J99" s="74" t="inlineStr">
        <is>
          <t>Нет</t>
        </is>
      </c>
      <c r="K99" s="74" t="inlineStr">
        <is>
          <t>Базовый</t>
        </is>
      </c>
      <c r="L99" s="72" t="inlineStr">
        <is>
          <t>Ереван (Армения)</t>
        </is>
      </c>
      <c r="M99" s="75" t="n">
        <v>3800000</v>
      </c>
      <c r="N99" s="70">
        <f>IF(OR(ISNUMBER(SEARCH("Физлицо",O99)),ISNUMBER(SEARCH("Частник",O99))),M99,M99/1.20)</f>
        <v/>
      </c>
      <c r="O99" s="72" t="inlineStr">
        <is>
          <t>Физлицо: Hayk Bejanyan</t>
        </is>
      </c>
      <c r="P99" s="72" t="inlineStr">
        <is>
          <t>EU</t>
        </is>
      </c>
      <c r="Q99" s="72" t="inlineStr">
        <is>
          <t>Hayk B.</t>
        </is>
      </c>
      <c r="R99" s="71" t="inlineStr">
        <is>
          <t>https://auto.ru/cars/tesla/model_y/all/?year_from=2022&amp;gear_type=ALL_WHEEL_DRIVE</t>
        </is>
      </c>
      <c r="S99" s="74" t="inlineStr">
        <is>
          <t>Активно</t>
        </is>
      </c>
      <c r="T99" s="72" t="inlineStr">
        <is>
          <t>Справедливая цена, армянский учёт</t>
        </is>
      </c>
      <c r="U99" s="72" t="inlineStr">
        <is>
          <t>Tesla Model Y Long Range Dual Motor I, 2022, серый. 514 л.с., заряд 533 км. Пробег 63 000 км. Справедливая цена. Ереван, Hayk Bejanyan.</t>
        </is>
      </c>
      <c r="V99" s="72" t="inlineStr">
        <is>
          <t>—</t>
        </is>
      </c>
      <c r="W99" s="72" t="inlineStr">
        <is>
          <t>—</t>
        </is>
      </c>
      <c r="X99" s="72" t="inlineStr">
        <is>
          <t>—</t>
        </is>
      </c>
      <c r="Y99" s="73" t="inlineStr">
        <is>
          <t>— нет VIN для проверки</t>
        </is>
      </c>
    </row>
    <row r="100" ht="49.5" customHeight="1" s="64">
      <c r="A100" s="77" t="n">
        <v>99</v>
      </c>
      <c r="B100" s="78" t="inlineStr">
        <is>
          <t>Auto.ru (Ильинский, Kirill)</t>
        </is>
      </c>
      <c r="C100" s="77" t="n">
        <v>2022</v>
      </c>
      <c r="D100" s="77" t="inlineStr">
        <is>
          <t>н/д</t>
        </is>
      </c>
      <c r="E100" s="78" t="inlineStr">
        <is>
          <t>Performance I (450 л.с.)</t>
        </is>
      </c>
      <c r="F100" s="77" t="n">
        <v>10000</v>
      </c>
      <c r="G100" s="78" t="inlineStr">
        <is>
          <t>чёрный</t>
        </is>
      </c>
      <c r="H100" s="78" t="inlineStr">
        <is>
          <t>н/д</t>
        </is>
      </c>
      <c r="I100" s="78" t="inlineStr">
        <is>
          <t>б/у отличное</t>
        </is>
      </c>
      <c r="J100" s="77" t="inlineStr">
        <is>
          <t>Нет</t>
        </is>
      </c>
      <c r="K100" s="77" t="inlineStr">
        <is>
          <t>Базовый</t>
        </is>
      </c>
      <c r="L100" s="78" t="inlineStr">
        <is>
          <t>Ильинский (ул. Фрунзе)</t>
        </is>
      </c>
      <c r="M100" s="79" t="n">
        <v>4090000</v>
      </c>
      <c r="N100" s="70">
        <f>IF(OR(ISNUMBER(SEARCH("Физлицо",O100)),ISNUMBER(SEARCH("Частник",O100))),M100,M100/1.20)</f>
        <v/>
      </c>
      <c r="O100" s="78" t="inlineStr">
        <is>
          <t>Физлицо: Kirill</t>
        </is>
      </c>
      <c r="P100" s="78" t="inlineStr">
        <is>
          <t>EU/Корея</t>
        </is>
      </c>
      <c r="Q100" s="78" t="inlineStr">
        <is>
          <t>Kirill</t>
        </is>
      </c>
      <c r="R100" s="71" t="inlineStr">
        <is>
          <t>https://auto.ru/cars/tesla/model_y/all/?year_from=2022&amp;gear_type=ALL_WHEEL_DRIVE</t>
        </is>
      </c>
      <c r="S100" s="77" t="inlineStr">
        <is>
          <t>Активно</t>
        </is>
      </c>
      <c r="T100" s="78" t="inlineStr">
        <is>
          <t>Справедливая цена, минимальный пробег</t>
        </is>
      </c>
      <c r="U100" s="78" t="inlineStr">
        <is>
          <t>Tesla Model Y Performance I, 2022, чёрный. 450 л.с., 331 кВт, заряд 451 км. Пробег 10 000 км. Справедливая цена. Ильинский, ул. Фрунзе. Kirill.</t>
        </is>
      </c>
      <c r="V100" s="72" t="inlineStr">
        <is>
          <t>—</t>
        </is>
      </c>
      <c r="W100" s="72" t="inlineStr">
        <is>
          <t>—</t>
        </is>
      </c>
      <c r="X100" s="72" t="inlineStr">
        <is>
          <t>—</t>
        </is>
      </c>
      <c r="Y100" s="73" t="inlineStr">
        <is>
          <t>— нет VIN для проверки</t>
        </is>
      </c>
    </row>
    <row r="101" ht="49.5" customHeight="1" s="64">
      <c r="A101" s="74" t="n">
        <v>100</v>
      </c>
      <c r="B101" s="72" t="inlineStr">
        <is>
          <t>Auto.ru (Москва, частное)</t>
        </is>
      </c>
      <c r="C101" s="74" t="n">
        <v>2022</v>
      </c>
      <c r="D101" s="74" t="inlineStr">
        <is>
          <t>н/д</t>
        </is>
      </c>
      <c r="E101" s="72" t="inlineStr">
        <is>
          <t>Performance I</t>
        </is>
      </c>
      <c r="F101" s="74" t="n">
        <v>28000</v>
      </c>
      <c r="G101" s="72" t="inlineStr">
        <is>
          <t>белый</t>
        </is>
      </c>
      <c r="H101" s="72" t="inlineStr">
        <is>
          <t>н/д</t>
        </is>
      </c>
      <c r="I101" s="72" t="inlineStr">
        <is>
          <t>б/у отличное</t>
        </is>
      </c>
      <c r="J101" s="74" t="inlineStr">
        <is>
          <t>Нет</t>
        </is>
      </c>
      <c r="K101" s="74" t="inlineStr">
        <is>
          <t>Базовый</t>
        </is>
      </c>
      <c r="L101" s="72" t="inlineStr">
        <is>
          <t>Москва</t>
        </is>
      </c>
      <c r="M101" s="75" t="n">
        <v>4750000</v>
      </c>
      <c r="N101" s="70">
        <f>IF(OR(ISNUMBER(SEARCH("Физлицо",O101)),ISNUMBER(SEARCH("Частник",O101))),M101,M101/1.20)</f>
        <v/>
      </c>
      <c r="O101" s="72" t="inlineStr">
        <is>
          <t>Физлицо (частное)</t>
        </is>
      </c>
      <c r="P101" s="72" t="inlineStr">
        <is>
          <t>EU</t>
        </is>
      </c>
      <c r="Q101" s="72" t="inlineStr">
        <is>
          <t>—</t>
        </is>
      </c>
      <c r="R101" s="71" t="inlineStr">
        <is>
          <t>https://auto.ru/cars/tesla/model_y/all/?year_from=2022&amp;gear_type=ALL_WHEEL_DRIVE</t>
        </is>
      </c>
      <c r="S101" s="74" t="inlineStr">
        <is>
          <t>Активно</t>
        </is>
      </c>
      <c r="T101" s="72" t="inlineStr">
        <is>
          <t>534 л.с.</t>
        </is>
      </c>
      <c r="U101" s="72" t="inlineStr">
        <is>
          <t>Tesla Model Y Performance I, 2022, белый. 534 л.с., заряд 514 км. Пробег 28 000 км. История авто бесплатно. Москва, частное лицо.</t>
        </is>
      </c>
      <c r="V101" s="72" t="inlineStr">
        <is>
          <t>—</t>
        </is>
      </c>
      <c r="W101" s="72" t="inlineStr">
        <is>
          <t>—</t>
        </is>
      </c>
      <c r="X101" s="72" t="inlineStr">
        <is>
          <t>—</t>
        </is>
      </c>
      <c r="Y101" s="73" t="inlineStr">
        <is>
          <t>— нет VIN для проверки</t>
        </is>
      </c>
    </row>
    <row r="102" ht="49.5" customHeight="1" s="64">
      <c r="A102" s="77" t="n">
        <v>101</v>
      </c>
      <c r="B102" s="78" t="inlineStr">
        <is>
          <t>Auto.ru (Минск, Василий)</t>
        </is>
      </c>
      <c r="C102" s="77" t="n">
        <v>2022</v>
      </c>
      <c r="D102" s="77" t="inlineStr">
        <is>
          <t>н/д</t>
        </is>
      </c>
      <c r="E102" s="78" t="inlineStr">
        <is>
          <t>Performance I</t>
        </is>
      </c>
      <c r="F102" s="77" t="n">
        <v>13000</v>
      </c>
      <c r="G102" s="78" t="inlineStr">
        <is>
          <t>серый</t>
        </is>
      </c>
      <c r="H102" s="78" t="inlineStr">
        <is>
          <t>н/д</t>
        </is>
      </c>
      <c r="I102" s="78" t="inlineStr">
        <is>
          <t>б/у отличное</t>
        </is>
      </c>
      <c r="J102" s="77" t="inlineStr">
        <is>
          <t>Нет</t>
        </is>
      </c>
      <c r="K102" s="77" t="inlineStr">
        <is>
          <t>Базовый</t>
        </is>
      </c>
      <c r="L102" s="78" t="inlineStr">
        <is>
          <t>Минск (Беларусь, пр. Независимости, 116)</t>
        </is>
      </c>
      <c r="M102" s="79" t="n">
        <v>4900000</v>
      </c>
      <c r="N102" s="70">
        <f>IF(OR(ISNUMBER(SEARCH("Физлицо",O102)),ISNUMBER(SEARCH("Частник",O102))),M102,M102/1.20)</f>
        <v/>
      </c>
      <c r="O102" s="78" t="inlineStr">
        <is>
          <t>Физлицо: Василий</t>
        </is>
      </c>
      <c r="P102" s="78" t="inlineStr">
        <is>
          <t>EU</t>
        </is>
      </c>
      <c r="Q102" s="78" t="inlineStr">
        <is>
          <t>Василий</t>
        </is>
      </c>
      <c r="R102" s="71" t="inlineStr">
        <is>
          <t>https://auto.ru/cars/tesla/model_y/all/?year_from=2022&amp;gear_type=ALL_WHEEL_DRIVE</t>
        </is>
      </c>
      <c r="S102" s="77" t="inlineStr">
        <is>
          <t>Активно</t>
        </is>
      </c>
      <c r="T102" s="78" t="inlineStr">
        <is>
          <t>Без пробега по РФ, малый пробег</t>
        </is>
      </c>
      <c r="U102" s="78" t="inlineStr">
        <is>
          <t>Tesla Model Y Performance I, 2022, серый. 534 л.с., заряд 514 км. Пробег 13 000 км. Без пробега по РФ. Минск, пр. Независимости, 116. Василий.</t>
        </is>
      </c>
      <c r="V102" s="72" t="inlineStr">
        <is>
          <t>—</t>
        </is>
      </c>
      <c r="W102" s="72" t="inlineStr">
        <is>
          <t>—</t>
        </is>
      </c>
      <c r="X102" s="72" t="inlineStr">
        <is>
          <t>—</t>
        </is>
      </c>
      <c r="Y102" s="73" t="inlineStr">
        <is>
          <t>— нет VIN для проверки</t>
        </is>
      </c>
    </row>
    <row r="103" ht="49.5" customHeight="1" s="64">
      <c r="A103" s="74" t="n">
        <v>102</v>
      </c>
      <c r="B103" s="72" t="inlineStr">
        <is>
          <t>Auto.ru (Молодечно, Елена)</t>
        </is>
      </c>
      <c r="C103" s="74" t="n">
        <v>2024</v>
      </c>
      <c r="D103" s="74" t="inlineStr">
        <is>
          <t>н/д</t>
        </is>
      </c>
      <c r="E103" s="72" t="inlineStr">
        <is>
          <t>Long Range I (345 л.с.)</t>
        </is>
      </c>
      <c r="F103" s="74" t="n">
        <v>3000</v>
      </c>
      <c r="G103" s="72" t="inlineStr">
        <is>
          <t>серый</t>
        </is>
      </c>
      <c r="H103" s="72" t="inlineStr">
        <is>
          <t>н/д</t>
        </is>
      </c>
      <c r="I103" s="72" t="inlineStr">
        <is>
          <t>Практически новый</t>
        </is>
      </c>
      <c r="J103" s="74" t="inlineStr">
        <is>
          <t>Нет</t>
        </is>
      </c>
      <c r="K103" s="74" t="inlineStr">
        <is>
          <t>Базовый</t>
        </is>
      </c>
      <c r="L103" s="72" t="inlineStr">
        <is>
          <t>Молодечно (Беларусь)</t>
        </is>
      </c>
      <c r="M103" s="75" t="n">
        <v>2764000</v>
      </c>
      <c r="N103" s="70">
        <f>IF(OR(ISNUMBER(SEARCH("Физлицо",O103)),ISNUMBER(SEARCH("Частник",O103))),M103,M103/1.20)</f>
        <v/>
      </c>
      <c r="O103" s="72" t="inlineStr">
        <is>
          <t>Физлицо: Елена</t>
        </is>
      </c>
      <c r="P103" s="72" t="inlineStr">
        <is>
          <t>EU</t>
        </is>
      </c>
      <c r="Q103" s="72" t="inlineStr">
        <is>
          <t>Елена</t>
        </is>
      </c>
      <c r="R103" s="71" t="inlineStr">
        <is>
          <t>https://auto.ru/cars/tesla/model_y/all/?year_from=2022&amp;gear_type=ALL_WHEEL_DRIVE</t>
        </is>
      </c>
      <c r="S103" s="74" t="inlineStr">
        <is>
          <t>Активно</t>
        </is>
      </c>
      <c r="T103" s="72" t="inlineStr">
        <is>
          <t>Свежий 2024, белорусская цена</t>
        </is>
      </c>
      <c r="U103" s="72" t="inlineStr">
        <is>
          <t>Tesla Model Y Long Range I, 2024, серый. 345 л.с., заряд 451 км. Пробег 3 000 км. Молодечно, Елена.</t>
        </is>
      </c>
      <c r="V103" s="72" t="inlineStr">
        <is>
          <t>—</t>
        </is>
      </c>
      <c r="W103" s="72" t="inlineStr">
        <is>
          <t>—</t>
        </is>
      </c>
      <c r="X103" s="72" t="inlineStr">
        <is>
          <t>—</t>
        </is>
      </c>
      <c r="Y103" s="73" t="inlineStr">
        <is>
          <t>— нет VIN для проверки</t>
        </is>
      </c>
    </row>
    <row r="104" ht="49.5" customHeight="1" s="64">
      <c r="A104" s="77" t="n">
        <v>103</v>
      </c>
      <c r="B104" s="78" t="inlineStr">
        <is>
          <t>Auto.ru (Георгиевск, Tesla Центр)</t>
        </is>
      </c>
      <c r="C104" s="77" t="n">
        <v>2022</v>
      </c>
      <c r="D104" s="77" t="inlineStr">
        <is>
          <t>н/д</t>
        </is>
      </c>
      <c r="E104" s="78" t="inlineStr">
        <is>
          <t>Performance I</t>
        </is>
      </c>
      <c r="F104" s="77" t="n">
        <v>25000</v>
      </c>
      <c r="G104" s="78" t="inlineStr">
        <is>
          <t>чёрный</t>
        </is>
      </c>
      <c r="H104" s="78" t="inlineStr">
        <is>
          <t>н/д</t>
        </is>
      </c>
      <c r="I104" s="78" t="inlineStr">
        <is>
          <t>б/у отличное</t>
        </is>
      </c>
      <c r="J104" s="77" t="inlineStr">
        <is>
          <t>Нет</t>
        </is>
      </c>
      <c r="K104" s="77" t="inlineStr">
        <is>
          <t>Базовый</t>
        </is>
      </c>
      <c r="L104" s="78" t="inlineStr">
        <is>
          <t>Георгиевск</t>
        </is>
      </c>
      <c r="M104" s="79" t="n">
        <v>5500000</v>
      </c>
      <c r="N104" s="70">
        <f>IF(OR(ISNUMBER(SEARCH("Физлицо",O104)),ISNUMBER(SEARCH("Частник",O104))),M104,M104/1.20)</f>
        <v/>
      </c>
      <c r="O104" s="78" t="inlineStr">
        <is>
          <t>Юрлицо: Тесла Центр Георгиевск</t>
        </is>
      </c>
      <c r="P104" s="78" t="inlineStr">
        <is>
          <t>EU</t>
        </is>
      </c>
      <c r="Q104" s="78" t="inlineStr">
        <is>
          <t>Тесла Центр Георгиевск</t>
        </is>
      </c>
      <c r="R104" s="71" t="inlineStr">
        <is>
          <t>https://auto.ru/cars/tesla/model_y/all/?year_from=2022&amp;gear_type=ALL_WHEEL_DRIVE</t>
        </is>
      </c>
      <c r="S104" s="77" t="inlineStr">
        <is>
          <t>Активно</t>
        </is>
      </c>
      <c r="T104" s="78" t="inlineStr">
        <is>
          <t>Дилер, 534 л.с.</t>
        </is>
      </c>
      <c r="U104" s="78" t="inlineStr">
        <is>
          <t>Tesla Model Y Performance I, 2022, чёрный. 534 л.с., заряд 514 км. Пробег 25 000 км. Дилер Тесла Центр Георгиевск.</t>
        </is>
      </c>
      <c r="V104" s="72" t="inlineStr">
        <is>
          <t>—</t>
        </is>
      </c>
      <c r="W104" s="72" t="inlineStr">
        <is>
          <t>—</t>
        </is>
      </c>
      <c r="X104" s="72" t="inlineStr">
        <is>
          <t>—</t>
        </is>
      </c>
      <c r="Y104" s="73" t="inlineStr">
        <is>
          <t>— нет VIN для проверки</t>
        </is>
      </c>
    </row>
    <row r="105" ht="49.5" customHeight="1" s="64">
      <c r="A105" s="74" t="n">
        <v>104</v>
      </c>
      <c r="B105" s="72" t="inlineStr">
        <is>
          <t>Auto.ru (Минск, Сергей)</t>
        </is>
      </c>
      <c r="C105" s="74" t="n">
        <v>2022</v>
      </c>
      <c r="D105" s="74" t="inlineStr">
        <is>
          <t>н/д</t>
        </is>
      </c>
      <c r="E105" s="72" t="inlineStr">
        <is>
          <t>Long Range I (345 л.с.)</t>
        </is>
      </c>
      <c r="F105" s="74" t="n">
        <v>2450</v>
      </c>
      <c r="G105" s="72" t="inlineStr">
        <is>
          <t>красный</t>
        </is>
      </c>
      <c r="H105" s="72" t="inlineStr">
        <is>
          <t>н/д</t>
        </is>
      </c>
      <c r="I105" s="72" t="inlineStr">
        <is>
          <t>Практически новый</t>
        </is>
      </c>
      <c r="J105" s="74" t="inlineStr">
        <is>
          <t>Нет</t>
        </is>
      </c>
      <c r="K105" s="74" t="inlineStr">
        <is>
          <t>Базовый</t>
        </is>
      </c>
      <c r="L105" s="72" t="inlineStr">
        <is>
          <t>Минск (Беларусь)</t>
        </is>
      </c>
      <c r="M105" s="75" t="n">
        <v>4500000</v>
      </c>
      <c r="N105" s="70">
        <f>IF(OR(ISNUMBER(SEARCH("Физлицо",O105)),ISNUMBER(SEARCH("Частник",O105))),M105,M105/1.20)</f>
        <v/>
      </c>
      <c r="O105" s="72" t="inlineStr">
        <is>
          <t>Физлицо: Сергей</t>
        </is>
      </c>
      <c r="P105" s="72" t="inlineStr">
        <is>
          <t>EU</t>
        </is>
      </c>
      <c r="Q105" s="72" t="inlineStr">
        <is>
          <t>Сергей</t>
        </is>
      </c>
      <c r="R105" s="71" t="inlineStr">
        <is>
          <t>https://auto.ru/cars/tesla/model_y/all/?year_from=2022&amp;gear_type=ALL_WHEEL_DRIVE</t>
        </is>
      </c>
      <c r="S105" s="74" t="inlineStr">
        <is>
          <t>Активно</t>
        </is>
      </c>
      <c r="T105" s="72" t="inlineStr">
        <is>
          <t>Без пробега по РФ, минимальный пробег</t>
        </is>
      </c>
      <c r="U105" s="72" t="inlineStr">
        <is>
          <t>Tesla Model Y Long Range I, 2022, красный. 345 л.с., заряд 451 км. Пробег 2 450 км. Без пробега по РФ. Минск, Сергей.</t>
        </is>
      </c>
      <c r="V105" s="72" t="inlineStr">
        <is>
          <t>—</t>
        </is>
      </c>
      <c r="W105" s="72" t="inlineStr">
        <is>
          <t>—</t>
        </is>
      </c>
      <c r="X105" s="72" t="inlineStr">
        <is>
          <t>—</t>
        </is>
      </c>
      <c r="Y105" s="73" t="inlineStr">
        <is>
          <t>— нет VIN для проверки</t>
        </is>
      </c>
    </row>
    <row r="106" ht="49.5" customHeight="1" s="64">
      <c r="A106" s="77" t="n">
        <v>105</v>
      </c>
      <c r="B106" s="78" t="inlineStr">
        <is>
          <t>Auto.ru (Ставрополь, частное)</t>
        </is>
      </c>
      <c r="C106" s="77" t="n">
        <v>2022</v>
      </c>
      <c r="D106" s="77" t="inlineStr">
        <is>
          <t>н/д</t>
        </is>
      </c>
      <c r="E106" s="78" t="inlineStr">
        <is>
          <t>Performance I</t>
        </is>
      </c>
      <c r="F106" s="77" t="n">
        <v>12000</v>
      </c>
      <c r="G106" s="78" t="inlineStr">
        <is>
          <t>серый</t>
        </is>
      </c>
      <c r="H106" s="78" t="inlineStr">
        <is>
          <t>н/д</t>
        </is>
      </c>
      <c r="I106" s="78" t="inlineStr">
        <is>
          <t>б/у отличное</t>
        </is>
      </c>
      <c r="J106" s="77" t="inlineStr">
        <is>
          <t>Нет</t>
        </is>
      </c>
      <c r="K106" s="77" t="inlineStr">
        <is>
          <t>Базовый</t>
        </is>
      </c>
      <c r="L106" s="78" t="inlineStr">
        <is>
          <t>Ставрополь</t>
        </is>
      </c>
      <c r="M106" s="79" t="n">
        <v>5400000</v>
      </c>
      <c r="N106" s="70">
        <f>IF(OR(ISNUMBER(SEARCH("Физлицо",O106)),ISNUMBER(SEARCH("Частник",O106))),M106,M106/1.20)</f>
        <v/>
      </c>
      <c r="O106" s="78" t="inlineStr">
        <is>
          <t>Физлицо (частное)</t>
        </is>
      </c>
      <c r="P106" s="78" t="inlineStr">
        <is>
          <t>EU</t>
        </is>
      </c>
      <c r="Q106" s="78" t="inlineStr">
        <is>
          <t>—</t>
        </is>
      </c>
      <c r="R106" s="71" t="inlineStr">
        <is>
          <t>https://auto.ru/cars/tesla/model_y/all/?year_from=2022&amp;gear_type=ALL_WHEEL_DRIVE</t>
        </is>
      </c>
      <c r="S106" s="77" t="inlineStr">
        <is>
          <t>Активно</t>
        </is>
      </c>
      <c r="T106" s="78" t="inlineStr">
        <is>
          <t>534 л.с., малый пробег</t>
        </is>
      </c>
      <c r="U106" s="78" t="inlineStr">
        <is>
          <t>Tesla Model Y Long Range Dual Motor I, 2022, синий. 514 л.с., заряд 533 км. Пробег 83 957 км. Справедливая цена. Скидка 50 000 ₽. Москва, Ярославское шоссе 27. Ситидрайв.</t>
        </is>
      </c>
      <c r="V106" s="72" t="inlineStr">
        <is>
          <t>—</t>
        </is>
      </c>
      <c r="W106" s="72" t="inlineStr">
        <is>
          <t>—</t>
        </is>
      </c>
      <c r="X106" s="72" t="inlineStr">
        <is>
          <t>—</t>
        </is>
      </c>
      <c r="Y106" s="73" t="inlineStr">
        <is>
          <t>— нет VIN для проверки</t>
        </is>
      </c>
    </row>
    <row r="107" ht="49.5" customHeight="1" s="64">
      <c r="A107" s="74" t="n">
        <v>106</v>
      </c>
      <c r="B107" s="72" t="inlineStr">
        <is>
          <t>Auto.ru (Москва, 74580350)</t>
        </is>
      </c>
      <c r="C107" s="74" t="n">
        <v>2022</v>
      </c>
      <c r="D107" s="74" t="inlineStr">
        <is>
          <t>н/д</t>
        </is>
      </c>
      <c r="E107" s="72" t="inlineStr">
        <is>
          <t>Performance I</t>
        </is>
      </c>
      <c r="F107" s="74" t="n">
        <v>63000</v>
      </c>
      <c r="G107" s="72" t="inlineStr">
        <is>
          <t>чёрный</t>
        </is>
      </c>
      <c r="H107" s="72" t="inlineStr">
        <is>
          <t>н/д</t>
        </is>
      </c>
      <c r="I107" s="72" t="inlineStr">
        <is>
          <t>б/у отличное</t>
        </is>
      </c>
      <c r="J107" s="74" t="inlineStr">
        <is>
          <t>Нет</t>
        </is>
      </c>
      <c r="K107" s="74" t="inlineStr">
        <is>
          <t>Базовый</t>
        </is>
      </c>
      <c r="L107" s="72" t="inlineStr">
        <is>
          <t>Москва</t>
        </is>
      </c>
      <c r="M107" s="75" t="n">
        <v>3900000</v>
      </c>
      <c r="N107" s="70">
        <f>IF(OR(ISNUMBER(SEARCH("Физлицо",O107)),ISNUMBER(SEARCH("Частник",O107))),M107,M107/1.20)</f>
        <v/>
      </c>
      <c r="O107" s="72" t="inlineStr">
        <is>
          <t>Физлицо: 74580350</t>
        </is>
      </c>
      <c r="P107" s="72" t="inlineStr">
        <is>
          <t>EU</t>
        </is>
      </c>
      <c r="Q107" s="72" t="inlineStr">
        <is>
          <t>74580350</t>
        </is>
      </c>
      <c r="R107" s="71" t="inlineStr">
        <is>
          <t>https://auto.ru/cars/tesla/model_y/all/?year_from=2022&amp;gear_type=ALL_WHEEL_DRIVE</t>
        </is>
      </c>
      <c r="S107" s="74" t="inlineStr">
        <is>
          <t>Активно</t>
        </is>
      </c>
      <c r="T107" s="72" t="inlineStr">
        <is>
          <t>Справедливая цена, 534 л.с.</t>
        </is>
      </c>
      <c r="U107" s="72" t="inlineStr">
        <is>
          <t>Tesla Model Y Performance I, 2022, серый. 534 л.с., заряд 514 км. Пробег 12 000 км. История авто бесплатно. Ставрополь, частное лицо.</t>
        </is>
      </c>
      <c r="V107" s="72" t="inlineStr">
        <is>
          <t>—</t>
        </is>
      </c>
      <c r="W107" s="72" t="inlineStr">
        <is>
          <t>—</t>
        </is>
      </c>
      <c r="X107" s="72" t="inlineStr">
        <is>
          <t>—</t>
        </is>
      </c>
      <c r="Y107" s="73" t="inlineStr">
        <is>
          <t>— нет VIN для проверки</t>
        </is>
      </c>
    </row>
    <row r="108" ht="49.5" customHeight="1" s="64">
      <c r="A108" s="77" t="n">
        <v>107</v>
      </c>
      <c r="B108" s="78" t="inlineStr">
        <is>
          <t>Auto.ru (Москва, Нарек)</t>
        </is>
      </c>
      <c r="C108" s="77" t="n">
        <v>2023</v>
      </c>
      <c r="D108" s="77" t="inlineStr">
        <is>
          <t>н/д</t>
        </is>
      </c>
      <c r="E108" s="78" t="inlineStr">
        <is>
          <t>Performance I</t>
        </is>
      </c>
      <c r="F108" s="77" t="n">
        <v>35000</v>
      </c>
      <c r="G108" s="78" t="inlineStr">
        <is>
          <t>белый</t>
        </is>
      </c>
      <c r="H108" s="78" t="inlineStr">
        <is>
          <t>н/д</t>
        </is>
      </c>
      <c r="I108" s="78" t="inlineStr">
        <is>
          <t>б/у отличное</t>
        </is>
      </c>
      <c r="J108" s="77" t="inlineStr">
        <is>
          <t>Нет</t>
        </is>
      </c>
      <c r="K108" s="77" t="inlineStr">
        <is>
          <t>Базовый</t>
        </is>
      </c>
      <c r="L108" s="78" t="inlineStr">
        <is>
          <t>Москва (Марьинский Парк)</t>
        </is>
      </c>
      <c r="M108" s="79" t="n">
        <v>5400000</v>
      </c>
      <c r="N108" s="70">
        <f>IF(OR(ISNUMBER(SEARCH("Физлицо",O108)),ISNUMBER(SEARCH("Частник",O108))),M108,M108/1.20)</f>
        <v/>
      </c>
      <c r="O108" s="78" t="inlineStr">
        <is>
          <t>Физлицо: Нарек</t>
        </is>
      </c>
      <c r="P108" s="78" t="inlineStr">
        <is>
          <t>EU</t>
        </is>
      </c>
      <c r="Q108" s="78" t="inlineStr">
        <is>
          <t>Нарек</t>
        </is>
      </c>
      <c r="R108" s="71" t="inlineStr">
        <is>
          <t>https://auto.ru/cars/tesla/model_y/all/?year_from=2022&amp;gear_type=ALL_WHEEL_DRIVE</t>
        </is>
      </c>
      <c r="S108" s="77" t="inlineStr">
        <is>
          <t>Активно</t>
        </is>
      </c>
      <c r="T108" s="78" t="inlineStr">
        <is>
          <t>От собственника, 534 л.с.</t>
        </is>
      </c>
      <c r="U108" s="78" t="inlineStr">
        <is>
          <t>Tesla Model Y Performance I, 2022, чёрный. 534 л.с., заряд 514 км. Пробег 63 000 км. Справедливая цена. История авто бесплатно. Москва, 74580350.</t>
        </is>
      </c>
      <c r="V108" s="72" t="inlineStr">
        <is>
          <t>—</t>
        </is>
      </c>
      <c r="W108" s="72" t="inlineStr">
        <is>
          <t>—</t>
        </is>
      </c>
      <c r="X108" s="72" t="inlineStr">
        <is>
          <t>—</t>
        </is>
      </c>
      <c r="Y108" s="73" t="inlineStr">
        <is>
          <t>— нет VIN для проверки</t>
        </is>
      </c>
    </row>
    <row r="109" ht="49.5" customHeight="1" s="64">
      <c r="A109" s="74" t="n">
        <v>108</v>
      </c>
      <c r="B109" s="72" t="inlineStr">
        <is>
          <t>Auto.ru (Ступино, Сергей Б)</t>
        </is>
      </c>
      <c r="C109" s="74" t="n">
        <v>2022</v>
      </c>
      <c r="D109" s="74" t="inlineStr">
        <is>
          <t>н/д</t>
        </is>
      </c>
      <c r="E109" s="84" t="inlineStr">
        <is>
          <t>Performance</t>
        </is>
      </c>
      <c r="F109" s="74" t="n">
        <v>35000</v>
      </c>
      <c r="G109" s="72" t="inlineStr">
        <is>
          <t>серый</t>
        </is>
      </c>
      <c r="H109" s="72" t="inlineStr">
        <is>
          <t>н/д</t>
        </is>
      </c>
      <c r="I109" s="72" t="inlineStr">
        <is>
          <t>б/у отличное</t>
        </is>
      </c>
      <c r="J109" s="74" t="inlineStr">
        <is>
          <t>Нет</t>
        </is>
      </c>
      <c r="K109" s="74" t="inlineStr">
        <is>
          <t>Базовый</t>
        </is>
      </c>
      <c r="L109" s="72" t="inlineStr">
        <is>
          <t>Ступино</t>
        </is>
      </c>
      <c r="M109" s="75" t="n">
        <v>4800000</v>
      </c>
      <c r="N109" s="70">
        <f>IF(OR(ISNUMBER(SEARCH("Физлицо",O109)),ISNUMBER(SEARCH("Частник",O109))),M109,M109/1.20)</f>
        <v/>
      </c>
      <c r="O109" s="72" t="inlineStr">
        <is>
          <t>Физлицо: Сергей Б</t>
        </is>
      </c>
      <c r="P109" s="72" t="inlineStr">
        <is>
          <t>EU</t>
        </is>
      </c>
      <c r="Q109" s="72" t="inlineStr">
        <is>
          <t>Сергей Б</t>
        </is>
      </c>
      <c r="R109" s="71" t="inlineStr">
        <is>
          <t>https://auto.ru/cars/tesla/model_y/all/?year_from=2022&amp;gear_type=ALL_WHEEL_DRIVE</t>
        </is>
      </c>
      <c r="S109" s="74" t="inlineStr">
        <is>
          <t>Активно</t>
        </is>
      </c>
      <c r="T109" s="72" t="inlineStr">
        <is>
          <t>Заряд 451 км; ⚠ ИСПРАВЛЕНО (валидация 21.05.26): модификация изменена с Long Range на Performance — описание явно указывает 534 л.с. и Performance (было: «Long Range I (345 л.с.)»)</t>
        </is>
      </c>
      <c r="U109" s="72" t="inlineStr">
        <is>
          <t>Tesla Model Y Performance I, 2023, белый. 534 л.с., заряд 514 км. Пробег 35 000 км. От собственника. История авто бесплатно. Москва, ЖР Марьинский Парк. Нарек.</t>
        </is>
      </c>
      <c r="V109" s="72" t="inlineStr">
        <is>
          <t>—</t>
        </is>
      </c>
      <c r="W109" s="72" t="inlineStr">
        <is>
          <t>—</t>
        </is>
      </c>
      <c r="X109" s="72" t="inlineStr">
        <is>
          <t>—</t>
        </is>
      </c>
      <c r="Y109" s="73" t="inlineStr">
        <is>
          <t>— нет VIN для проверки</t>
        </is>
      </c>
    </row>
    <row r="110" ht="49.5" customHeight="1" s="64">
      <c r="A110" s="77" t="n">
        <v>109</v>
      </c>
      <c r="B110" s="78" t="inlineStr">
        <is>
          <t>Auto.ru (СПб, частное)</t>
        </is>
      </c>
      <c r="C110" s="77" t="n">
        <v>2022</v>
      </c>
      <c r="D110" s="77" t="inlineStr">
        <is>
          <t>н/д</t>
        </is>
      </c>
      <c r="E110" s="78" t="inlineStr">
        <is>
          <t>Long Range Dual Motor I</t>
        </is>
      </c>
      <c r="F110" s="77" t="n">
        <v>50000</v>
      </c>
      <c r="G110" s="78" t="inlineStr">
        <is>
          <t>серый</t>
        </is>
      </c>
      <c r="H110" s="78" t="inlineStr">
        <is>
          <t>н/д</t>
        </is>
      </c>
      <c r="I110" s="78" t="inlineStr">
        <is>
          <t>б/у отличное</t>
        </is>
      </c>
      <c r="J110" s="77" t="inlineStr">
        <is>
          <t>Нет</t>
        </is>
      </c>
      <c r="K110" s="77" t="inlineStr">
        <is>
          <t>Базовый</t>
        </is>
      </c>
      <c r="L110" s="78" t="inlineStr">
        <is>
          <t>Санкт-Петербург</t>
        </is>
      </c>
      <c r="M110" s="79" t="n">
        <v>4500000</v>
      </c>
      <c r="N110" s="70">
        <f>IF(OR(ISNUMBER(SEARCH("Физлицо",O110)),ISNUMBER(SEARCH("Частник",O110))),M110,M110/1.20)</f>
        <v/>
      </c>
      <c r="O110" s="78" t="inlineStr">
        <is>
          <t>Физлицо (частное)</t>
        </is>
      </c>
      <c r="P110" s="78" t="inlineStr">
        <is>
          <t>EU</t>
        </is>
      </c>
      <c r="Q110" s="78" t="inlineStr">
        <is>
          <t>—</t>
        </is>
      </c>
      <c r="R110" s="71" t="inlineStr">
        <is>
          <t>https://auto.ru/cars/tesla/model_y/all/?year_from=2022&amp;gear_type=ALL_WHEEL_DRIVE</t>
        </is>
      </c>
      <c r="S110" s="77" t="inlineStr">
        <is>
          <t>Активно</t>
        </is>
      </c>
      <c r="T110" s="78" t="inlineStr">
        <is>
          <t>514 л.с., 533 км</t>
        </is>
      </c>
      <c r="U110" s="78" t="inlineStr">
        <is>
          <t>Tesla Model Y Long Range I, 2022, серый. 345 л.с., заряд 451 км. Пробег 35 000 км. История авто бесплатно. Ступино, Сергей Б.</t>
        </is>
      </c>
      <c r="V110" s="72" t="inlineStr">
        <is>
          <t>—</t>
        </is>
      </c>
      <c r="W110" s="72" t="inlineStr">
        <is>
          <t>—</t>
        </is>
      </c>
      <c r="X110" s="72" t="inlineStr">
        <is>
          <t>—</t>
        </is>
      </c>
      <c r="Y110" s="73" t="inlineStr">
        <is>
          <t>— нет VIN для проверки</t>
        </is>
      </c>
    </row>
    <row r="111" ht="49.5" customHeight="1" s="64">
      <c r="A111" s="74" t="n">
        <v>110</v>
      </c>
      <c r="B111" s="72" t="inlineStr">
        <is>
          <t>Auto.ru (Павловская, частное)</t>
        </is>
      </c>
      <c r="C111" s="74" t="n">
        <v>2022</v>
      </c>
      <c r="D111" s="74" t="inlineStr">
        <is>
          <t>н/д</t>
        </is>
      </c>
      <c r="E111" s="72" t="inlineStr">
        <is>
          <t>Long Range I (345 л.с.)</t>
        </is>
      </c>
      <c r="F111" s="74" t="n">
        <v>37000</v>
      </c>
      <c r="G111" s="72" t="inlineStr">
        <is>
          <t>белый</t>
        </is>
      </c>
      <c r="H111" s="72" t="inlineStr">
        <is>
          <t>н/д</t>
        </is>
      </c>
      <c r="I111" s="72" t="inlineStr">
        <is>
          <t>б/у отличное</t>
        </is>
      </c>
      <c r="J111" s="74" t="inlineStr">
        <is>
          <t>Нет</t>
        </is>
      </c>
      <c r="K111" s="74" t="inlineStr">
        <is>
          <t>Базовый</t>
        </is>
      </c>
      <c r="L111" s="72" t="inlineStr">
        <is>
          <t>Павловская (Магистральная, 1)</t>
        </is>
      </c>
      <c r="M111" s="75" t="n">
        <v>4800000</v>
      </c>
      <c r="N111" s="70">
        <f>IF(OR(ISNUMBER(SEARCH("Физлицо",O111)),ISNUMBER(SEARCH("Частник",O111))),M111,M111/1.20)</f>
        <v/>
      </c>
      <c r="O111" s="72" t="inlineStr">
        <is>
          <t>Физлицо (частное)</t>
        </is>
      </c>
      <c r="P111" s="72" t="inlineStr">
        <is>
          <t>EU</t>
        </is>
      </c>
      <c r="Q111" s="72" t="inlineStr">
        <is>
          <t>—</t>
        </is>
      </c>
      <c r="R111" s="71" t="inlineStr">
        <is>
          <t>https://auto.ru/cars/tesla/model_y/all/?year_from=2022&amp;gear_type=ALL_WHEEL_DRIVE</t>
        </is>
      </c>
      <c r="S111" s="74" t="inlineStr">
        <is>
          <t>Активно</t>
        </is>
      </c>
      <c r="T111" s="72" t="inlineStr">
        <is>
          <t>Заряд 451 км</t>
        </is>
      </c>
      <c r="U111" s="72" t="inlineStr">
        <is>
          <t>Tesla Model Y Long Range Dual Motor I, 2022, серый. 514 л.с., заряд 533 км. Пробег 50 000 км. История авто бесплатно. СПб, частное лицо.</t>
        </is>
      </c>
      <c r="V111" s="72" t="inlineStr">
        <is>
          <t>—</t>
        </is>
      </c>
      <c r="W111" s="72" t="inlineStr">
        <is>
          <t>—</t>
        </is>
      </c>
      <c r="X111" s="72" t="inlineStr">
        <is>
          <t>—</t>
        </is>
      </c>
      <c r="Y111" s="73" t="inlineStr">
        <is>
          <t>— нет VIN для проверки</t>
        </is>
      </c>
    </row>
    <row r="112" ht="49.5" customHeight="1" s="64">
      <c r="A112" s="77" t="n">
        <v>111</v>
      </c>
      <c r="B112" s="78" t="inlineStr">
        <is>
          <t>Auto.ru (Москва, Мария)</t>
        </is>
      </c>
      <c r="C112" s="77" t="n">
        <v>2022</v>
      </c>
      <c r="D112" s="77" t="inlineStr">
        <is>
          <t>н/д</t>
        </is>
      </c>
      <c r="E112" s="78" t="inlineStr">
        <is>
          <t>Performance I</t>
        </is>
      </c>
      <c r="F112" s="77" t="n">
        <v>41280</v>
      </c>
      <c r="G112" s="78" t="inlineStr">
        <is>
          <t>белый</t>
        </is>
      </c>
      <c r="H112" s="78" t="inlineStr">
        <is>
          <t>н/д</t>
        </is>
      </c>
      <c r="I112" s="78" t="inlineStr">
        <is>
          <t>б/у отличное</t>
        </is>
      </c>
      <c r="J112" s="77" t="inlineStr">
        <is>
          <t>Нет</t>
        </is>
      </c>
      <c r="K112" s="77" t="inlineStr">
        <is>
          <t>Базовый</t>
        </is>
      </c>
      <c r="L112" s="78" t="inlineStr">
        <is>
          <t>Москва</t>
        </is>
      </c>
      <c r="M112" s="79" t="n">
        <v>5100000</v>
      </c>
      <c r="N112" s="70">
        <f>IF(OR(ISNUMBER(SEARCH("Физлицо",O112)),ISNUMBER(SEARCH("Частник",O112))),M112,M112/1.20)</f>
        <v/>
      </c>
      <c r="O112" s="78" t="inlineStr">
        <is>
          <t>Физлицо: Мария</t>
        </is>
      </c>
      <c r="P112" s="78" t="inlineStr">
        <is>
          <t>EU</t>
        </is>
      </c>
      <c r="Q112" s="78" t="inlineStr">
        <is>
          <t>Мария</t>
        </is>
      </c>
      <c r="R112" s="71" t="inlineStr">
        <is>
          <t>https://auto.ru/cars/tesla/model_y/all/?year_from=2022&amp;gear_type=ALL_WHEEL_DRIVE</t>
        </is>
      </c>
      <c r="S112" s="77" t="inlineStr">
        <is>
          <t>Активно</t>
        </is>
      </c>
      <c r="T112" s="78" t="inlineStr">
        <is>
          <t>534 л.с.</t>
        </is>
      </c>
      <c r="U112" s="78" t="inlineStr">
        <is>
          <t>Tesla Model Y Long Range I, 2022, белый. 345 л.с., заряд 451 км. Пробег 37 000 км. История авто бесплатно. Павловская, Магистральная ул., 1. Частное лицо.</t>
        </is>
      </c>
      <c r="V112" s="72" t="inlineStr">
        <is>
          <t>—</t>
        </is>
      </c>
      <c r="W112" s="72" t="inlineStr">
        <is>
          <t>—</t>
        </is>
      </c>
      <c r="X112" s="72" t="inlineStr">
        <is>
          <t>—</t>
        </is>
      </c>
      <c r="Y112" s="73" t="inlineStr">
        <is>
          <t>— нет VIN для проверки</t>
        </is>
      </c>
    </row>
    <row r="113" ht="49.5" customHeight="1" s="64">
      <c r="A113" s="74" t="n">
        <v>112</v>
      </c>
      <c r="B113" s="72" t="inlineStr">
        <is>
          <t>Auto.ru (Пинск, Сергей)</t>
        </is>
      </c>
      <c r="C113" s="74" t="n">
        <v>2022</v>
      </c>
      <c r="D113" s="74" t="inlineStr">
        <is>
          <t>н/д</t>
        </is>
      </c>
      <c r="E113" s="72" t="inlineStr">
        <is>
          <t>Performance I</t>
        </is>
      </c>
      <c r="F113" s="74" t="n">
        <v>18000</v>
      </c>
      <c r="G113" s="72" t="inlineStr">
        <is>
          <t>серый</t>
        </is>
      </c>
      <c r="H113" s="72" t="inlineStr">
        <is>
          <t>н/д</t>
        </is>
      </c>
      <c r="I113" s="72" t="inlineStr">
        <is>
          <t>б/у отличное</t>
        </is>
      </c>
      <c r="J113" s="74" t="inlineStr">
        <is>
          <t>Нет</t>
        </is>
      </c>
      <c r="K113" s="74" t="inlineStr">
        <is>
          <t>Базовый</t>
        </is>
      </c>
      <c r="L113" s="72" t="inlineStr">
        <is>
          <t>Пинск (Беларусь, ул. Иркутско-Пинской Дивизии, 82)</t>
        </is>
      </c>
      <c r="M113" s="75" t="n">
        <v>2800000</v>
      </c>
      <c r="N113" s="70">
        <f>IF(OR(ISNUMBER(SEARCH("Физлицо",O113)),ISNUMBER(SEARCH("Частник",O113))),M113,M113/1.20)</f>
        <v/>
      </c>
      <c r="O113" s="72" t="inlineStr">
        <is>
          <t>Физлицо: Сергей</t>
        </is>
      </c>
      <c r="P113" s="72" t="inlineStr">
        <is>
          <t>EU</t>
        </is>
      </c>
      <c r="Q113" s="72" t="inlineStr">
        <is>
          <t>Сергей</t>
        </is>
      </c>
      <c r="R113" s="71" t="inlineStr">
        <is>
          <t>https://auto.ru/cars/tesla/model_y/all/?year_from=2022&amp;gear_type=ALL_WHEEL_DRIVE</t>
        </is>
      </c>
      <c r="S113" s="74" t="inlineStr">
        <is>
          <t>Активно</t>
        </is>
      </c>
      <c r="T113" s="72" t="inlineStr">
        <is>
          <t>Очень низкая цена для Performance</t>
        </is>
      </c>
      <c r="U113" s="72" t="inlineStr">
        <is>
          <t>Tesla Model Y Performance I, 2022, белый. 534 л.с., заряд 514 км. Пробег 41 280 км. История авто бесплатно. Москва, Мария.</t>
        </is>
      </c>
      <c r="V113" s="72" t="inlineStr">
        <is>
          <t>—</t>
        </is>
      </c>
      <c r="W113" s="72" t="inlineStr">
        <is>
          <t>—</t>
        </is>
      </c>
      <c r="X113" s="72" t="inlineStr">
        <is>
          <t>—</t>
        </is>
      </c>
      <c r="Y113" s="73" t="inlineStr">
        <is>
          <t>— нет VIN для проверки</t>
        </is>
      </c>
    </row>
    <row r="114" ht="49.5" customHeight="1" s="64">
      <c r="A114" s="77" t="n">
        <v>113</v>
      </c>
      <c r="B114" s="78" t="inlineStr">
        <is>
          <t>Auto.ru (Москва, 9222616)</t>
        </is>
      </c>
      <c r="C114" s="77" t="n">
        <v>2024</v>
      </c>
      <c r="D114" s="77" t="inlineStr">
        <is>
          <t>н/д</t>
        </is>
      </c>
      <c r="E114" s="84" t="inlineStr">
        <is>
          <t>Performance</t>
        </is>
      </c>
      <c r="F114" s="77" t="n">
        <v>16000</v>
      </c>
      <c r="G114" s="78" t="inlineStr">
        <is>
          <t>чёрный</t>
        </is>
      </c>
      <c r="H114" s="78" t="inlineStr">
        <is>
          <t>н/д</t>
        </is>
      </c>
      <c r="I114" s="78" t="inlineStr">
        <is>
          <t>б/у отличное</t>
        </is>
      </c>
      <c r="J114" s="77" t="inlineStr">
        <is>
          <t>Нет</t>
        </is>
      </c>
      <c r="K114" s="77" t="inlineStr">
        <is>
          <t>Базовый</t>
        </is>
      </c>
      <c r="L114" s="78" t="inlineStr">
        <is>
          <t>Москва (Фрунзенская наб., 10А)</t>
        </is>
      </c>
      <c r="M114" s="79" t="n">
        <v>5500000</v>
      </c>
      <c r="N114" s="70">
        <f>IF(OR(ISNUMBER(SEARCH("Физлицо",O114)),ISNUMBER(SEARCH("Частник",O114))),M114,M114/1.20)</f>
        <v/>
      </c>
      <c r="O114" s="78" t="inlineStr">
        <is>
          <t>Физлицо: 9222616</t>
        </is>
      </c>
      <c r="P114" s="78" t="inlineStr">
        <is>
          <t>EU</t>
        </is>
      </c>
      <c r="Q114" s="78" t="inlineStr">
        <is>
          <t>9222616</t>
        </is>
      </c>
      <c r="R114" s="71" t="inlineStr">
        <is>
          <t>https://auto.ru/cars/tesla/model_y/all/?year_from=2022&amp;gear_type=ALL_WHEEL_DRIVE</t>
        </is>
      </c>
      <c r="S114" s="77" t="inlineStr">
        <is>
          <t>Активно</t>
        </is>
      </c>
      <c r="T114" s="78" t="inlineStr">
        <is>
          <t>От собственника, свежий 2024; ⚠ ИСПРАВЛЕНО (валидация 21.05.26): модификация изменена с Long Range на Performance — описание явно указывает 534 л.с. и Performance (было: «Long Range Dual Motor I»)</t>
        </is>
      </c>
      <c r="U114" s="78" t="inlineStr">
        <is>
          <t>Tesla Model Y Performance I, 2022, серый. 534 л.с., заряд 514 км. Пробег 18 000 км. Пинск, ул. Иркутско-Пинской Дивизии, 82. Сергей.</t>
        </is>
      </c>
      <c r="V114" s="72" t="inlineStr">
        <is>
          <t>—</t>
        </is>
      </c>
      <c r="W114" s="72" t="inlineStr">
        <is>
          <t>—</t>
        </is>
      </c>
      <c r="X114" s="72" t="inlineStr">
        <is>
          <t>—</t>
        </is>
      </c>
      <c r="Y114" s="73" t="inlineStr">
        <is>
          <t>— нет VIN для проверки</t>
        </is>
      </c>
    </row>
    <row r="115" ht="49.5" customHeight="1" s="64">
      <c r="A115" s="74" t="n">
        <v>114</v>
      </c>
      <c r="B115" s="72" t="inlineStr">
        <is>
          <t>Auto.ru (Пермь, Mitya S.)</t>
        </is>
      </c>
      <c r="C115" s="74" t="n">
        <v>2023</v>
      </c>
      <c r="D115" s="74" t="inlineStr">
        <is>
          <t>н/д</t>
        </is>
      </c>
      <c r="E115" s="72" t="inlineStr">
        <is>
          <t>Performance I</t>
        </is>
      </c>
      <c r="F115" s="74" t="n">
        <v>28500</v>
      </c>
      <c r="G115" s="72" t="inlineStr">
        <is>
          <t>белый</t>
        </is>
      </c>
      <c r="H115" s="72" t="inlineStr">
        <is>
          <t>н/д</t>
        </is>
      </c>
      <c r="I115" s="72" t="inlineStr">
        <is>
          <t>б/у отличное</t>
        </is>
      </c>
      <c r="J115" s="74" t="inlineStr">
        <is>
          <t>Нет</t>
        </is>
      </c>
      <c r="K115" s="74" t="inlineStr">
        <is>
          <t>Базовый</t>
        </is>
      </c>
      <c r="L115" s="72" t="inlineStr">
        <is>
          <t>Пермь</t>
        </is>
      </c>
      <c r="M115" s="75" t="n">
        <v>5710000</v>
      </c>
      <c r="N115" s="70">
        <f>IF(OR(ISNUMBER(SEARCH("Физлицо",O115)),ISNUMBER(SEARCH("Частник",O115))),M115,M115/1.20)</f>
        <v/>
      </c>
      <c r="O115" s="72" t="inlineStr">
        <is>
          <t>Физлицо: Mitya Sparkovich</t>
        </is>
      </c>
      <c r="P115" s="72" t="inlineStr">
        <is>
          <t>EU</t>
        </is>
      </c>
      <c r="Q115" s="72" t="inlineStr">
        <is>
          <t>Mitya S.</t>
        </is>
      </c>
      <c r="R115" s="71" t="inlineStr">
        <is>
          <t>https://auto.ru/cars/tesla/model_y/all/?year_from=2022&amp;gear_type=ALL_WHEEL_DRIVE</t>
        </is>
      </c>
      <c r="S115" s="74" t="inlineStr">
        <is>
          <t>Активно</t>
        </is>
      </c>
      <c r="T115" s="72" t="inlineStr">
        <is>
          <t>534 л.с.</t>
        </is>
      </c>
      <c r="U115" s="72" t="inlineStr">
        <is>
          <t>Tesla Model Y Long Range Dual Motor I, 2024, чёрный. 514 л.с., заряд 533 км. Пробег 16 000 км. От собственника. История авто бесплатно. Москва, Фрунзенская наб., 10А. 9222616.</t>
        </is>
      </c>
      <c r="V115" s="72" t="inlineStr">
        <is>
          <t>—</t>
        </is>
      </c>
      <c r="W115" s="72" t="inlineStr">
        <is>
          <t>—</t>
        </is>
      </c>
      <c r="X115" s="72" t="inlineStr">
        <is>
          <t>—</t>
        </is>
      </c>
      <c r="Y115" s="73" t="inlineStr">
        <is>
          <t>— нет VIN для проверки</t>
        </is>
      </c>
    </row>
    <row r="116" ht="49.5" customHeight="1" s="64">
      <c r="A116" s="77" t="n">
        <v>115</v>
      </c>
      <c r="B116" s="78" t="inlineStr">
        <is>
          <t>Auto.ru (Архангельское, Roman R.)</t>
        </is>
      </c>
      <c r="C116" s="77" t="n">
        <v>2023</v>
      </c>
      <c r="D116" s="77" t="inlineStr">
        <is>
          <t>н/д</t>
        </is>
      </c>
      <c r="E116" s="78" t="inlineStr">
        <is>
          <t>Performance I</t>
        </is>
      </c>
      <c r="F116" s="77" t="n">
        <v>62000</v>
      </c>
      <c r="G116" s="78" t="inlineStr">
        <is>
          <t>белый</t>
        </is>
      </c>
      <c r="H116" s="78" t="inlineStr">
        <is>
          <t>н/д</t>
        </is>
      </c>
      <c r="I116" s="78" t="inlineStr">
        <is>
          <t>б/у отличное</t>
        </is>
      </c>
      <c r="J116" s="77" t="inlineStr">
        <is>
          <t>Нет</t>
        </is>
      </c>
      <c r="K116" s="77" t="inlineStr">
        <is>
          <t>Базовый</t>
        </is>
      </c>
      <c r="L116" s="78" t="inlineStr">
        <is>
          <t>Архангельское (с6)</t>
        </is>
      </c>
      <c r="M116" s="79" t="n">
        <v>5300000</v>
      </c>
      <c r="N116" s="70">
        <f>IF(OR(ISNUMBER(SEARCH("Физлицо",O116)),ISNUMBER(SEARCH("Частник",O116))),M116,M116/1.20)</f>
        <v/>
      </c>
      <c r="O116" s="78" t="inlineStr">
        <is>
          <t>Физлицо: Roman Romanov</t>
        </is>
      </c>
      <c r="P116" s="78" t="inlineStr">
        <is>
          <t>EU</t>
        </is>
      </c>
      <c r="Q116" s="78" t="inlineStr">
        <is>
          <t>Roman R.</t>
        </is>
      </c>
      <c r="R116" s="71" t="inlineStr">
        <is>
          <t>https://auto.ru/cars/tesla/model_y/all/?year_from=2022&amp;gear_type=ALL_WHEEL_DRIVE</t>
        </is>
      </c>
      <c r="S116" s="77" t="inlineStr">
        <is>
          <t>Активно</t>
        </is>
      </c>
      <c r="T116" s="78" t="inlineStr">
        <is>
          <t>534 л.с.</t>
        </is>
      </c>
      <c r="U116" s="78" t="inlineStr">
        <is>
          <t>Tesla Model Y Performance I, 2023, белый. 534 л.с., заряд 514 км. Пробег 28 500 км. История авто бесплатно. Пермь, Mitya Sparkovich.</t>
        </is>
      </c>
      <c r="V116" s="72" t="inlineStr">
        <is>
          <t>—</t>
        </is>
      </c>
      <c r="W116" s="72" t="inlineStr">
        <is>
          <t>—</t>
        </is>
      </c>
      <c r="X116" s="72" t="inlineStr">
        <is>
          <t>—</t>
        </is>
      </c>
      <c r="Y116" s="73" t="inlineStr">
        <is>
          <t>— нет VIN для проверки</t>
        </is>
      </c>
    </row>
    <row r="117" ht="49.5" customHeight="1" s="64">
      <c r="A117" s="74" t="n">
        <v>116</v>
      </c>
      <c r="B117" s="72" t="inlineStr">
        <is>
          <t>Auto.ru (Москва, Илья М.)</t>
        </is>
      </c>
      <c r="C117" s="74" t="n">
        <v>2022</v>
      </c>
      <c r="D117" s="74" t="inlineStr">
        <is>
          <t>н/д</t>
        </is>
      </c>
      <c r="E117" s="84" t="inlineStr">
        <is>
          <t>Performance</t>
        </is>
      </c>
      <c r="F117" s="74" t="n">
        <v>53344</v>
      </c>
      <c r="G117" s="72" t="inlineStr">
        <is>
          <t>белый</t>
        </is>
      </c>
      <c r="H117" s="72" t="inlineStr">
        <is>
          <t>н/д</t>
        </is>
      </c>
      <c r="I117" s="72" t="inlineStr">
        <is>
          <t>б/у отличное</t>
        </is>
      </c>
      <c r="J117" s="74" t="inlineStr">
        <is>
          <t>Нет</t>
        </is>
      </c>
      <c r="K117" s="74" t="inlineStr">
        <is>
          <t>Базовый</t>
        </is>
      </c>
      <c r="L117" s="72" t="inlineStr">
        <is>
          <t>Москва</t>
        </is>
      </c>
      <c r="M117" s="75" t="n">
        <v>4250000</v>
      </c>
      <c r="N117" s="70">
        <f>IF(OR(ISNUMBER(SEARCH("Физлицо",O117)),ISNUMBER(SEARCH("Частник",O117))),M117,M117/1.20)</f>
        <v/>
      </c>
      <c r="O117" s="72" t="inlineStr">
        <is>
          <t>Физлицо: Илья Марикович</t>
        </is>
      </c>
      <c r="P117" s="72" t="inlineStr">
        <is>
          <t>EU</t>
        </is>
      </c>
      <c r="Q117" s="72" t="inlineStr">
        <is>
          <t>Илья Марикович</t>
        </is>
      </c>
      <c r="R117" s="71" t="inlineStr">
        <is>
          <t>https://auto.ru/cars/tesla/model_y/all/?year_from=2022&amp;gear_type=ALL_WHEEL_DRIVE</t>
        </is>
      </c>
      <c r="S117" s="74" t="inlineStr">
        <is>
          <t>Активно</t>
        </is>
      </c>
      <c r="T117" s="72" t="inlineStr">
        <is>
          <t>Справедливая цена, 514 л.с.; ⚠ ИСПРАВЛЕНО (валидация 21.05.26): модификация изменена с Long Range на Performance — описание явно указывает 534 л.с. и Performance (было: «Long Range Dual Motor I»)</t>
        </is>
      </c>
      <c r="U117" s="72" t="inlineStr">
        <is>
          <t>Tesla Model Y Performance I, 2023, белый. 534 л.с., заряд 514 км. Пробег 62 000 км. История авто бесплатно. Архангельское, с6. Roman Romanov.</t>
        </is>
      </c>
      <c r="V117" s="72" t="inlineStr">
        <is>
          <t>—</t>
        </is>
      </c>
      <c r="W117" s="72" t="inlineStr">
        <is>
          <t>—</t>
        </is>
      </c>
      <c r="X117" s="72" t="inlineStr">
        <is>
          <t>—</t>
        </is>
      </c>
      <c r="Y117" s="73" t="inlineStr">
        <is>
          <t>— нет VIN для проверки</t>
        </is>
      </c>
    </row>
    <row r="118" ht="60" customHeight="1" s="64">
      <c r="A118" s="91" t="n">
        <v>117</v>
      </c>
      <c r="B118" s="91" t="inlineStr">
        <is>
          <t>Avito (свежее, 21.05.2026)</t>
        </is>
      </c>
      <c r="C118" s="91" t="n">
        <v>2021</v>
      </c>
      <c r="D118" s="91" t="inlineStr">
        <is>
          <t>—</t>
        </is>
      </c>
      <c r="E118" s="91" t="inlineStr">
        <is>
          <t>Long Range AWD</t>
        </is>
      </c>
      <c r="F118" s="91" t="n">
        <v>60000</v>
      </c>
      <c r="G118" s="91" t="inlineStr">
        <is>
          <t>белый</t>
        </is>
      </c>
      <c r="H118" s="91" t="inlineStr">
        <is>
          <t>ткань</t>
        </is>
      </c>
      <c r="I118" s="91" t="inlineStr">
        <is>
          <t>Не битый</t>
        </is>
      </c>
      <c r="J118" s="91" t="inlineStr">
        <is>
          <t>Нет</t>
        </is>
      </c>
      <c r="K118" s="91" t="inlineStr">
        <is>
          <t>—</t>
        </is>
      </c>
      <c r="L118" s="91" t="inlineStr">
        <is>
          <t>Ульяновск (ул. Чернышевского, 2А, Железнодорожный р-н)</t>
        </is>
      </c>
      <c r="M118" s="91" t="n">
        <v>4300000</v>
      </c>
      <c r="N118" s="92">
        <f>IF(OR(ISNUMBER(SEARCH("Физлицо",O118)),ISNUMBER(SEARCH("Частник",O118))),M118,M118/1.20)</f>
        <v/>
      </c>
      <c r="O118" s="91" t="inlineStr">
        <is>
          <t>Физлицо (Вячеслав, 5.0/10 отзывов)</t>
        </is>
      </c>
      <c r="P118" s="91" t="inlineStr">
        <is>
          <t>Германия (по словам продавца); VIN LRWY = Шанхай!</t>
        </is>
      </c>
      <c r="Q118" s="91" t="inlineStr">
        <is>
          <t>Только сообщения (без звонков)</t>
        </is>
      </c>
      <c r="R118" s="93" t="inlineStr">
        <is>
          <t>https://www.avito.ru/ulyanovsk/avtomobili/tesla_model_y_at_2021_60_000_km_8093218887</t>
        </is>
      </c>
      <c r="S118" s="91" t="inlineStr">
        <is>
          <t>Опубликовано: 21.05.2026 (2 часа назад)</t>
        </is>
      </c>
      <c r="T118" s="91" t="inlineStr">
        <is>
          <t>ПТС электронный, 1 владелец (был перевес — фактически 2-й в ПТС, но один в семье). VIN LRWY = Giga Shanghai. Базовая комплектация. Оценка Авито: 3 729 000 ± 200 000 ₽. **Несоответствие**: продавец пишет «Германия», но VIN указывает на Шанхай</t>
        </is>
      </c>
      <c r="U118" s="91" t="inlineStr">
        <is>
          <t>Был перевес владельца, по факту хозяин один в одной семье. Куплена в Германии с салона, всё функционирует и работает без нареканий, в ДТП не участвовала.</t>
        </is>
      </c>
      <c r="V118" s="72" t="inlineStr">
        <is>
          <t>LRWY*** (Giga Shanghai (Китай))</t>
        </is>
      </c>
      <c r="W118" s="72" t="inlineStr">
        <is>
          <t>? (нет полного VIN)</t>
        </is>
      </c>
      <c r="X118" s="72" t="inlineStr">
        <is>
          <t>Shanghai (Giga Shanghai), Китай</t>
        </is>
      </c>
      <c r="Y118" s="76" t="inlineStr">
        <is>
          <t>✗ Завод не совпадает: заявлено «Германия», VIN = Китай</t>
        </is>
      </c>
    </row>
    <row r="119" ht="60" customHeight="1" s="64">
      <c r="A119" s="91" t="n">
        <v>118</v>
      </c>
      <c r="B119" s="91" t="inlineStr">
        <is>
          <t>Avito (свежее, 21.05.2026)</t>
        </is>
      </c>
      <c r="C119" s="91" t="n">
        <v>2022</v>
      </c>
      <c r="D119" s="91" t="inlineStr">
        <is>
          <t>—</t>
        </is>
      </c>
      <c r="E119" s="91" t="inlineStr">
        <is>
          <t>AWD Performance</t>
        </is>
      </c>
      <c r="F119" s="91" t="n">
        <v>68000</v>
      </c>
      <c r="G119" s="91" t="inlineStr">
        <is>
          <t>чёрный</t>
        </is>
      </c>
      <c r="H119" s="84" t="inlineStr">
        <is>
          <t>Чёрный (Tesla базовый)</t>
        </is>
      </c>
      <c r="I119" s="91" t="inlineStr">
        <is>
          <t>Не битый</t>
        </is>
      </c>
      <c r="J119" s="91" t="inlineStr">
        <is>
          <t>Нет ДТП</t>
        </is>
      </c>
      <c r="K119" s="91" t="inlineStr">
        <is>
          <t>—</t>
        </is>
      </c>
      <c r="L119" s="91" t="inlineStr">
        <is>
          <t>Подольск (ул. Кирова, МО)</t>
        </is>
      </c>
      <c r="M119" s="91" t="n">
        <v>4000000</v>
      </c>
      <c r="N119" s="92">
        <f>IF(OR(ISNUMBER(SEARCH("Физлицо",O119)),ISNUMBER(SEARCH("Частник",O119))),M119,M119/1.20)</f>
        <v/>
      </c>
      <c r="O119" s="91" t="inlineStr">
        <is>
          <t>Физлицо (5.0/4 отзыва)</t>
        </is>
      </c>
      <c r="P119" s="91" t="inlineStr">
        <is>
          <t>США (VIN 7SAY, привезена в 2025)</t>
        </is>
      </c>
      <c r="Q119" s="91" t="inlineStr">
        <is>
          <t>—</t>
        </is>
      </c>
      <c r="R119" s="93" t="inlineStr">
        <is>
          <t>https://www.avito.ru/podolsk/avtomobili/tesla_model_y_at_2022_68_000_km_8068864754</t>
        </is>
      </c>
      <c r="S119" s="91" t="inlineStr">
        <is>
          <t>Опубликовано: 21.05.2026 (3 часа назад)</t>
        </is>
      </c>
      <c r="T119" s="91" t="inlineStr">
        <is>
          <t>ПТС оригинал, 1 владелец, не битый. VIN 7SAY = Giga Texas. Машиной управляла девушка. Оценка Авито: 3 947 000 ± 270 000 ₽. Performance из США привезена в 2025 году</t>
        </is>
      </c>
      <c r="U119" s="91" t="inlineStr">
        <is>
          <t>Продаю свою Теслу. Привезена из Америки в 2025 году. Полный привод, версия Performance. ДТП не было. Один владелец. Машиной управляла девушка, состояние отличное. Плюсы электрички: нет транспортного налога и оплаты парковок. Обслуживание очень дешёвое по сравнению с обычным авто.</t>
        </is>
      </c>
      <c r="V119" s="72" t="inlineStr">
        <is>
          <t>7SAY*** (Giga Texas (США))</t>
        </is>
      </c>
      <c r="W119" s="72" t="inlineStr">
        <is>
          <t>? (нет полного VIN)</t>
        </is>
      </c>
      <c r="X119" s="72" t="inlineStr">
        <is>
          <t>Austin, Texas (Giga Texas), США</t>
        </is>
      </c>
      <c r="Y119" s="80" t="inlineStr">
        <is>
          <t>✓ Завод совпадает (США)</t>
        </is>
      </c>
    </row>
    <row r="120" ht="60" customHeight="1" s="64">
      <c r="A120" s="91" t="n">
        <v>119</v>
      </c>
      <c r="B120" s="91" t="inlineStr">
        <is>
          <t>Avito (свежее, 18.05.2026)</t>
        </is>
      </c>
      <c r="C120" s="91" t="n">
        <v>2020</v>
      </c>
      <c r="D120" s="91" t="inlineStr">
        <is>
          <t>—</t>
        </is>
      </c>
      <c r="E120" s="91" t="inlineStr">
        <is>
          <t>Long Range Dual Motor</t>
        </is>
      </c>
      <c r="F120" s="91" t="n">
        <v>65000</v>
      </c>
      <c r="G120" s="91" t="inlineStr">
        <is>
          <t>белый</t>
        </is>
      </c>
      <c r="H120" s="84" t="inlineStr">
        <is>
          <t>Чёрный (Tesla базовый)</t>
        </is>
      </c>
      <c r="I120" s="91" t="inlineStr">
        <is>
          <t>Не битый</t>
        </is>
      </c>
      <c r="J120" s="91" t="inlineStr">
        <is>
          <t>Нет</t>
        </is>
      </c>
      <c r="K120" s="91" t="inlineStr">
        <is>
          <t>Автопилот, музыка премиум</t>
        </is>
      </c>
      <c r="L120" s="91" t="inlineStr">
        <is>
          <t>с. Култаево (Пермский край, Первоцветная ул.)</t>
        </is>
      </c>
      <c r="M120" s="91" t="n">
        <v>4000000</v>
      </c>
      <c r="N120" s="92">
        <f>IF(OR(ISNUMBER(SEARCH("Физлицо",O120)),ISNUMBER(SEARCH("Частник",O120))),M120,M120/1.20)</f>
        <v/>
      </c>
      <c r="O120" s="91" t="inlineStr">
        <is>
          <t>Физлицо (5.0/3 отзыва)</t>
        </is>
      </c>
      <c r="P120" s="91" t="inlineStr">
        <is>
          <t>США (VIN 5YJY = Fremont)</t>
        </is>
      </c>
      <c r="Q120" s="91" t="inlineStr">
        <is>
          <t>Тел. 8 934 XXX-XX-XX (отвечает за несколько часов)</t>
        </is>
      </c>
      <c r="R120" s="93" t="inlineStr">
        <is>
          <t>https://www.avito.ru/kultaevo/avtomobili/tesla_model_y_at_2020_65_000_km_8092549136</t>
        </is>
      </c>
      <c r="S120" s="91" t="inlineStr">
        <is>
          <t>Опубликовано: 18.05.2026 (3 дня назад)</t>
        </is>
      </c>
      <c r="T120" s="91" t="inlineStr">
        <is>
          <t>ПТС электронный, 2 владельца, не битый. VIN 5YJY = Giga Fremont (Калифорния, США). Долго ехала на территорию РФ через Беларусь. Оценка Авито: 3 574 000 ± 220 000 ₽. **Старый модельный год 2020** — не попадает под исходный фильтр 2022+, но AWD Long Range Dual</t>
        </is>
      </c>
      <c r="U120" s="91" t="inlineStr">
        <is>
          <t>Tesla Model Y, Long Range, Dual Motor. Американка. Отличное состояние. Сертификаты целые, работает с приложения телефона. Зимняя резина Nokian Hakkapeliitta в подарок. Хорошая комплектация. Автопилот, музыка премиум класса с завода.</t>
        </is>
      </c>
      <c r="V120" s="72" t="inlineStr">
        <is>
          <t>5YJY*** (Giga Fremont (США, Калифорния))</t>
        </is>
      </c>
      <c r="W120" s="72" t="inlineStr">
        <is>
          <t>? (нет полного VIN)</t>
        </is>
      </c>
      <c r="X120" s="72" t="inlineStr">
        <is>
          <t>Fremont, California, США</t>
        </is>
      </c>
      <c r="Y120" s="80" t="inlineStr">
        <is>
          <t>✓ Завод совпадает (США)</t>
        </is>
      </c>
    </row>
    <row r="121" ht="79.5" customHeight="1" s="64">
      <c r="A121" s="82" t="n">
        <v>120</v>
      </c>
      <c r="B121" s="82" t="inlineStr">
        <is>
          <t>Avito (свежее, 21.05.2026)</t>
        </is>
      </c>
      <c r="C121" s="82" t="n">
        <v>2023</v>
      </c>
      <c r="D121" s="82" t="inlineStr">
        <is>
          <t>05</t>
        </is>
      </c>
      <c r="E121" s="82" t="inlineStr">
        <is>
          <t>Long Range Dual</t>
        </is>
      </c>
      <c r="F121" s="82" t="n">
        <v>29000</v>
      </c>
      <c r="G121" s="82" t="inlineStr">
        <is>
          <t>белый</t>
        </is>
      </c>
      <c r="H121" s="84" t="inlineStr">
        <is>
          <t>Чёрный (Tesla базовый)</t>
        </is>
      </c>
      <c r="I121" s="82" t="inlineStr">
        <is>
          <t>Не битый (но в описании указаны повреждения и ремонт)</t>
        </is>
      </c>
      <c r="J121" s="82" t="inlineStr">
        <is>
          <t>Битый — переднее правое крыло замена, передняя правая дверь ремонт, передний бампер замена</t>
        </is>
      </c>
      <c r="K121" s="82" t="inlineStr">
        <is>
          <t>АП 4 поколения с инфракрасными камерами</t>
        </is>
      </c>
      <c r="L121" s="82" t="inlineStr">
        <is>
          <t>Тольятти (Самарская обл., ул. Александра Кудашева, Центральный р-н)</t>
        </is>
      </c>
      <c r="M121" s="82" t="n">
        <v>5500000</v>
      </c>
      <c r="N121" s="82">
        <f>IF(OR(ISNUMBER(SEARCH("Физлицо",O121)),ISNUMBER(SEARCH("Частник",O121))),M121,M121/1.20)</f>
        <v/>
      </c>
      <c r="O121" s="82" t="inlineStr">
        <is>
          <t>Физлицо (Евгений, 5.0/8 отзывов, на Авито с 2025)</t>
        </is>
      </c>
      <c r="P121" s="82" t="inlineStr">
        <is>
          <t>США (VIN 7SAY = Giga Texas; пригнан с пробегом 100 км)</t>
        </is>
      </c>
      <c r="Q121" s="82" t="inlineStr">
        <is>
          <t>Сообщения (отвечает около 30 минут)</t>
        </is>
      </c>
      <c r="R121" s="86" t="inlineStr">
        <is>
          <t>https://www.avito.ru/tolyatti/avtomobili/tesla_model_y_at_2023_29_000_km_8137492178</t>
        </is>
      </c>
      <c r="S121" s="82" t="inlineStr">
        <is>
          <t>Опубликовано: ~21.05.2026 (новое)</t>
        </is>
      </c>
      <c r="T121" s="82" t="inlineStr">
        <is>
          <t>ПТС электронный, 1 владелец. VIN 7SAY*** = Giga Texas (США). Базовая комплектация, белый. **Был ремонт после ДТП**: переднее правое крыло заменено, правая дверь ремонт, передний бампер заменён. Утиль коммерческий уплачен, стоит на учёте РФ. Резина зима + лето. Зарядка домашняя 32А 7 кВт, переходник CCS. Возможен обмен на Mercedes Vito или V-klass. Оценка Авито: 3 973 000 ± 350 000 ₽ — реальная цена ВЫШЕ оценки на 27%</t>
        </is>
      </c>
      <c r="U121" s="82" t="inlineStr">
        <is>
          <t>Tesla model Y 05.2023. Long Range 82KWT 560 км запас хода. На этом авто уже самый последний автопилот 4 поколения с инфракрасными камерами. Состояние нового авто. Утиль коммерческий уплачен, стоит на учёте РФ. Резина зима лето. Пригонял для себя с США с пробегом 100 км, повреждения касательные — переднее правое крыло была замена и передняя правая дверь ремонт, передний бампер замена. Всё остальное родное, сделано на совесть. Зарядка от домашний сети 32 ампера 7 кВт. Переходник CCS для быстрых зарядок. Возможен обмен. Желательно на Mercedes Vito или V-klass. Так же рассмотрю варианты.</t>
        </is>
      </c>
      <c r="V121" s="82" t="inlineStr">
        <is>
          <t>7SAY*** (Giga Texas, США)</t>
        </is>
      </c>
      <c r="W121" s="82" t="inlineStr">
        <is>
          <t>? (нет полного VIN)</t>
        </is>
      </c>
      <c r="X121" s="82" t="inlineStr">
        <is>
          <t>Austin, Texas (Giga Texas), США</t>
        </is>
      </c>
      <c r="Y121" s="82" t="inlineStr">
        <is>
          <t>⚠ Завод: США (заявленное происхождение совпадает)</t>
        </is>
      </c>
    </row>
    <row r="122" ht="79.5" customHeight="1" s="64">
      <c r="A122" s="91" t="n">
        <v>121</v>
      </c>
      <c r="B122" s="91" t="inlineStr">
        <is>
          <t>Avito (свежее, 21.05.2026)</t>
        </is>
      </c>
      <c r="C122" s="91" t="n">
        <v>2022</v>
      </c>
      <c r="D122" s="91" t="inlineStr">
        <is>
          <t>—</t>
        </is>
      </c>
      <c r="E122" s="91" t="inlineStr">
        <is>
          <t>Long Performance AWD</t>
        </is>
      </c>
      <c r="F122" s="91" t="n">
        <v>40000</v>
      </c>
      <c r="G122" s="91" t="inlineStr">
        <is>
          <t>чёрный</t>
        </is>
      </c>
      <c r="H122" s="84" t="inlineStr">
        <is>
          <t>Чёрный (Tesla базовый)</t>
        </is>
      </c>
      <c r="I122" s="91" t="inlineStr">
        <is>
          <t>Не битый</t>
        </is>
      </c>
      <c r="J122" s="91" t="inlineStr">
        <is>
          <t>Нет</t>
        </is>
      </c>
      <c r="K122" s="91" t="inlineStr">
        <is>
          <t>—</t>
        </is>
      </c>
      <c r="L122" s="91" t="inlineStr">
        <is>
          <t>Москва (ЗАО, р-н Тропарёво-Никулино)</t>
        </is>
      </c>
      <c r="M122" s="91" t="n">
        <v>4499000</v>
      </c>
      <c r="N122" s="92">
        <f>IF(OR(ISNUMBER(SEARCH("Физлицо",O122)),ISNUMBER(SEARCH("Частник",O122))),M122,M122/1.20)</f>
        <v/>
      </c>
      <c r="O122" s="91" t="inlineStr">
        <is>
          <t>Физлицо (Ксения, 4.9/17 отзывов, на Авито с 2024)</t>
        </is>
      </c>
      <c r="P122" s="91" t="inlineStr">
        <is>
          <t>Германия (VIN XP7Y подтверждает = Giga Berlin)</t>
        </is>
      </c>
      <c r="Q122" s="91" t="inlineStr">
        <is>
          <t>Тел. 8 934 XXX-XX-XX (отвечает в течение дня)</t>
        </is>
      </c>
      <c r="R122" s="93" t="inlineStr">
        <is>
          <t>https://www.avito.ru/moskva/avtomobili/tesla_model_y_at_2022_40_000_km_8062123497</t>
        </is>
      </c>
      <c r="S122" s="91" t="inlineStr">
        <is>
          <t>Опубликовано: 20.05.2026 в 12:52 (вчера)</t>
        </is>
      </c>
      <c r="T122" s="91" t="inlineStr">
        <is>
          <t>ПТС электронный, 2 владельца, не битый, базовая комплектация. VIN XP7Y*** = Giga Berlin (Германия) — заявленное и фактическое происхождение СОВПАДАЮТ. Продаётся от собственника, проверено через Госуслуги. 21 объявление пользователя — возможно перекуп. Оценка Авито: дороже на 3% от средней</t>
        </is>
      </c>
      <c r="U122" s="91" t="inlineStr">
        <is>
          <t>Европейка, ездила я с малышом. Использовалась, как вторая машина в летний сезон. Заряжалась в частном доме</t>
        </is>
      </c>
      <c r="V122" s="91" t="inlineStr">
        <is>
          <t>XP7Y*** (Giga Berlin, Германия)</t>
        </is>
      </c>
      <c r="W122" s="91" t="inlineStr">
        <is>
          <t>? (нет полного VIN)</t>
        </is>
      </c>
      <c r="X122" s="91" t="inlineStr">
        <is>
          <t>Berlin (Giga Berlin), Германия</t>
        </is>
      </c>
      <c r="Y122" s="91" t="inlineStr">
        <is>
          <t>✓ Завод совпадает (Германия)</t>
        </is>
      </c>
    </row>
    <row r="123" ht="79.5" customHeight="1" s="64">
      <c r="A123" s="94" t="n">
        <v>122</v>
      </c>
      <c r="B123" s="94" t="inlineStr">
        <is>
          <t>Avito (свежее, 21.05.2026)</t>
        </is>
      </c>
      <c r="C123" s="94" t="n">
        <v>2022</v>
      </c>
      <c r="D123" s="94" t="inlineStr">
        <is>
          <t>01</t>
        </is>
      </c>
      <c r="E123" s="94" t="inlineStr">
        <is>
          <t>Long Range 4WD AT (444 л.с.)</t>
        </is>
      </c>
      <c r="F123" s="94" t="n">
        <v>48000</v>
      </c>
      <c r="G123" s="94" t="inlineStr">
        <is>
          <t>чёрный</t>
        </is>
      </c>
      <c r="H123" s="84" t="inlineStr">
        <is>
          <t>Чёрный (Tesla базовый)</t>
        </is>
      </c>
      <c r="I123" s="94" t="inlineStr">
        <is>
          <t>Не битый, крашеных деталей нет</t>
        </is>
      </c>
      <c r="J123" s="94" t="inlineStr">
        <is>
          <t>Нет</t>
        </is>
      </c>
      <c r="K123" s="94" t="inlineStr">
        <is>
          <t>—</t>
        </is>
      </c>
      <c r="L123" s="94" t="inlineStr">
        <is>
          <t>Москва (2-й Мосфильмовский пер., р-н Поклонная/Минская)</t>
        </is>
      </c>
      <c r="M123" s="94" t="n">
        <v>4490000</v>
      </c>
      <c r="N123" s="94">
        <f>IF(OR(ISNUMBER(SEARCH("Физлицо",O123)),ISNUMBER(SEARCH("Частник",O123))),M123,M123/1.20)</f>
        <v/>
      </c>
      <c r="O123" s="94" t="inlineStr">
        <is>
          <t>Физлицо (иван, на Авито с 2026)</t>
        </is>
      </c>
      <c r="P123" s="94" t="inlineStr">
        <is>
          <t>Германия (по словам продавца) — НО VIN LRWY указывает на Shanghai!</t>
        </is>
      </c>
      <c r="Q123" s="94" t="inlineStr">
        <is>
          <t>—</t>
        </is>
      </c>
      <c r="R123" s="95" t="inlineStr">
        <is>
          <t>https://www.avito.ru/moskva/avtomobili/tesla_model_y_at_2022_48_000_km_8079671471</t>
        </is>
      </c>
      <c r="S123" s="94" t="inlineStr">
        <is>
          <t>Опубликовано: ~20.05.2026 (новое)</t>
        </is>
      </c>
      <c r="T123" s="94" t="inlineStr">
        <is>
          <t>**ТРЕТИЙ СЛУЧАЙ НЕСООТВЕТСТВИЯ**: продавец указывает «Европеец, привезен новым из Германии в январе 2023», но VIN LRWY*** однозначно указывает на Giga Shanghai (Китай). Передняя часть кузова, крылья, капот и бампер в плёнке. Пошиты индивидуальные ковры салона. Комплект зимней резины R20 + летней R21. В подарок новая оригинальная зарядка Wall Connector. Хранилась в подземном паркинге. ПТС электронный, 1 владелец. Продавец «иван» зарегистрирован в 2026 году — возможно новый аккаунт перекупа. Базовая комплектация, 444 л.с.</t>
        </is>
      </c>
      <c r="U123" s="94" t="inlineStr">
        <is>
          <t>Европеец, привезен новым из Германии в январе 2023. Без ДТП, крашенных деталей нет. Передняя часть кузова, крылья, капот и бампер в пленке. Пошиты индивидуальные ковры салона. Комплект зимней резины на оригинальных дисках R20. Комплект летней резины на оригинальных дисках R21. В подарок новая, оригинальная зарядка Wall Connector. Хранилась в подземном паркинге.</t>
        </is>
      </c>
      <c r="V123" s="94" t="inlineStr">
        <is>
          <t>LRWY*** (Giga Shanghai, Китай — НЕ Берлин!)</t>
        </is>
      </c>
      <c r="W123" s="94" t="inlineStr">
        <is>
          <t>? (нет полного VIN)</t>
        </is>
      </c>
      <c r="X123" s="94" t="inlineStr">
        <is>
          <t>Shanghai (Giga Shanghai), Китай</t>
        </is>
      </c>
      <c r="Y123" s="94" t="inlineStr">
        <is>
          <t>✗ Завод не совпадает: заявлено «Германия», VIN = Китай</t>
        </is>
      </c>
    </row>
  </sheetData>
  <autoFilter ref="A1:Y123"/>
  <hyperlinks>
    <hyperlink xmlns:r="http://schemas.openxmlformats.org/officeDocument/2006/relationships" ref="R2" display="https://www.sravni.ru/biznes-leasing/technics/67f6b33dc60716c49d161770/" r:id="rId1"/>
    <hyperlink xmlns:r="http://schemas.openxmlformats.org/officeDocument/2006/relationships" ref="R3" display="https://t.me/TeslaRUShop/4332" r:id="rId2"/>
    <hyperlink xmlns:r="http://schemas.openxmlformats.org/officeDocument/2006/relationships" ref="R4" display="https://t.me/TeslaRUShop/4311" r:id="rId3"/>
    <hyperlink xmlns:r="http://schemas.openxmlformats.org/officeDocument/2006/relationships" ref="R5" display="https://t.me/TeslaRUShop/4314" r:id="rId4"/>
    <hyperlink xmlns:r="http://schemas.openxmlformats.org/officeDocument/2006/relationships" ref="R6" display="https://t.me/TeslaRUShop/4320" r:id="rId5"/>
    <hyperlink xmlns:r="http://schemas.openxmlformats.org/officeDocument/2006/relationships" ref="R7" display="https://t.me/TeslaRUShop/3978" r:id="rId6"/>
    <hyperlink xmlns:r="http://schemas.openxmlformats.org/officeDocument/2006/relationships" ref="R8" display="https://t.me/TeslaRUShop/4106" r:id="rId7"/>
    <hyperlink xmlns:r="http://schemas.openxmlformats.org/officeDocument/2006/relationships" ref="R9" display="https://t.me/TeslaRUShop/4085" r:id="rId8"/>
    <hyperlink xmlns:r="http://schemas.openxmlformats.org/officeDocument/2006/relationships" ref="R10" display="https://t.me/s/teslarushop" r:id="rId9"/>
    <hyperlink xmlns:r="http://schemas.openxmlformats.org/officeDocument/2006/relationships" ref="R11" display="https://t.me/TeslaRUShop/4026" r:id="rId10"/>
    <hyperlink xmlns:r="http://schemas.openxmlformats.org/officeDocument/2006/relationships" ref="R12" display="https://auto.drom.ru/tesla/model_y/" r:id="rId11"/>
    <hyperlink xmlns:r="http://schemas.openxmlformats.org/officeDocument/2006/relationships" ref="R13" display="https://auto.drom.ru/tesla/model_y/" r:id="rId12"/>
    <hyperlink xmlns:r="http://schemas.openxmlformats.org/officeDocument/2006/relationships" ref="R14" display="https://auto.drom.ru/tesla/model_y/" r:id="rId13"/>
    <hyperlink xmlns:r="http://schemas.openxmlformats.org/officeDocument/2006/relationships" ref="R15" display="https://auto.drom.ru/tesla/model_y/" r:id="rId14"/>
    <hyperlink xmlns:r="http://schemas.openxmlformats.org/officeDocument/2006/relationships" ref="R16" display="https://auto.drom.ru/tesla/model_y/" r:id="rId15"/>
    <hyperlink xmlns:r="http://schemas.openxmlformats.org/officeDocument/2006/relationships" ref="R17" display="https://auto.drom.ru/tesla/model_y/" r:id="rId16"/>
    <hyperlink xmlns:r="http://schemas.openxmlformats.org/officeDocument/2006/relationships" ref="R18" display="https://auto.drom.ru/tesla/model_y/" r:id="rId17"/>
    <hyperlink xmlns:r="http://schemas.openxmlformats.org/officeDocument/2006/relationships" ref="R19" display="https://auto.drom.ru/tesla/model_y/" r:id="rId18"/>
    <hyperlink xmlns:r="http://schemas.openxmlformats.org/officeDocument/2006/relationships" ref="R20" display="https://auto.drom.ru/tesla/model_y/" r:id="rId19"/>
    <hyperlink xmlns:r="http://schemas.openxmlformats.org/officeDocument/2006/relationships" ref="R21" display="https://auto.drom.ru/tesla/model_y/" r:id="rId20"/>
    <hyperlink xmlns:r="http://schemas.openxmlformats.org/officeDocument/2006/relationships" ref="R22" display="https://auto.drom.ru/tesla/model_y/" r:id="rId21"/>
    <hyperlink xmlns:r="http://schemas.openxmlformats.org/officeDocument/2006/relationships" ref="R23" display="https://moscowteslaclub.ru/" r:id="rId22"/>
    <hyperlink xmlns:r="http://schemas.openxmlformats.org/officeDocument/2006/relationships" ref="R24" display="https://moscowteslaclub.ru/car/tesla-model-y-performance_7078" r:id="rId23"/>
    <hyperlink xmlns:r="http://schemas.openxmlformats.org/officeDocument/2006/relationships" ref="R25" display="https://moscowteslaclub.ru/car/tesla-model-y-performance_63345" r:id="rId24"/>
    <hyperlink xmlns:r="http://schemas.openxmlformats.org/officeDocument/2006/relationships" ref="R26" display="https://moscowteslaclub.ru/" r:id="rId25"/>
    <hyperlink xmlns:r="http://schemas.openxmlformats.org/officeDocument/2006/relationships" ref="R27" display="https://electrodrivemoscow.ru/" r:id="rId26"/>
    <hyperlink xmlns:r="http://schemas.openxmlformats.org/officeDocument/2006/relationships" ref="R28" display="https://autopremiumgroup.ru/" r:id="rId27"/>
    <hyperlink xmlns:r="http://schemas.openxmlformats.org/officeDocument/2006/relationships" ref="R29" display="https://autopremiumgroup.ru/" r:id="rId28"/>
    <hyperlink xmlns:r="http://schemas.openxmlformats.org/officeDocument/2006/relationships" ref="R30" display="https://www.avito.ru/all/avtomobili/tesla/model_y-ASgBAgICAkTgtg2umSjitg22qTo?cd=1&amp;s=104" r:id="rId29"/>
    <hyperlink xmlns:r="http://schemas.openxmlformats.org/officeDocument/2006/relationships" ref="R31" display="https://www.avito.ru/all/avtomobili/tesla/model_y-ASgBAgICAkTgtg2umSjitg22qTo?cd=1&amp;s=104" r:id="rId30"/>
    <hyperlink xmlns:r="http://schemas.openxmlformats.org/officeDocument/2006/relationships" ref="R32" display="https://www.avito.ru/vladivostok/avtomobili/tesla_model_y_at_2025_10_700_km_8205685953" r:id="rId31"/>
    <hyperlink xmlns:r="http://schemas.openxmlformats.org/officeDocument/2006/relationships" ref="R33" display="https://www.avito.ru/izhevsk/avtomobili/tesla_model_y_at_2023_9_500_km_7855755142" r:id="rId32"/>
    <hyperlink xmlns:r="http://schemas.openxmlformats.org/officeDocument/2006/relationships" ref="R34" display="https://www.avito.ru/all/avtomobili/tesla/model_y-ASgBAgICAkTgtg2umSjitg22qTo?cd=1&amp;s=104" r:id="rId33"/>
    <hyperlink xmlns:r="http://schemas.openxmlformats.org/officeDocument/2006/relationships" ref="R35" display="https://www.avito.ru/all/avtomobili/tesla/model_y-ASgBAgICAkTgtg2umSjitg22qTo?cd=1&amp;s=104" r:id="rId34"/>
    <hyperlink xmlns:r="http://schemas.openxmlformats.org/officeDocument/2006/relationships" ref="R36" display="https://www.avito.ru/all/avtomobili/tesla/model_y-ASgBAgICAkTgtg2umSjitg22qTo?cd=1&amp;s=104" r:id="rId35"/>
    <hyperlink xmlns:r="http://schemas.openxmlformats.org/officeDocument/2006/relationships" ref="R37" display="https://www.avito.ru/all/avtomobili/tesla/model_y-ASgBAgICAkTgtg2umSjitg22qTo?cd=1&amp;s=104" r:id="rId36"/>
    <hyperlink xmlns:r="http://schemas.openxmlformats.org/officeDocument/2006/relationships" ref="R38" display="https://www.avito.ru/krasnodar/avtomobili/tesla_model_y_at_2023_55_000_km_8099120073" r:id="rId37"/>
    <hyperlink xmlns:r="http://schemas.openxmlformats.org/officeDocument/2006/relationships" ref="R39" display="https://www.avito.ru/sankt-peterburg/avtomobili/tesla_model_y_at_2023_25_000_km_3806749384" r:id="rId38"/>
    <hyperlink xmlns:r="http://schemas.openxmlformats.org/officeDocument/2006/relationships" ref="R40" display="https://www.avito.ru/moskovskaya_oblast_krasnogorsk/avtomobili/tesla_model_y_at_2023_62_000_km_8020053008" r:id="rId39"/>
    <hyperlink xmlns:r="http://schemas.openxmlformats.org/officeDocument/2006/relationships" ref="R41" display="https://www.avito.ru/stavropol/avtomobili/tesla_model_y_at_2023_19_500_km_3225471165" r:id="rId40"/>
    <hyperlink xmlns:r="http://schemas.openxmlformats.org/officeDocument/2006/relationships" ref="R42" display="https://www.avito.ru/all/avtomobili/tesla/model_y-ASgBAgICAkTgtg2umSjitg22qTo?cd=1&amp;s=104" r:id="rId41"/>
    <hyperlink xmlns:r="http://schemas.openxmlformats.org/officeDocument/2006/relationships" ref="R43" display="https://www.avito.ru/all/avtomobili/tesla/model_y-ASgBAgICAkTgtg2umSjitg22qTo?cd=1&amp;s=104" r:id="rId42"/>
    <hyperlink xmlns:r="http://schemas.openxmlformats.org/officeDocument/2006/relationships" ref="R44" display="https://www.avito.ru/all/avtomobili/tesla/model_y-ASgBAgICAkTgtg2umSjitg22qTo?cd=1&amp;s=104" r:id="rId43"/>
    <hyperlink xmlns:r="http://schemas.openxmlformats.org/officeDocument/2006/relationships" ref="R45" display="https://www.avito.ru/moskva/avtomobili/tesla_model_y_at_2022_21_000_km_8007200599" r:id="rId44"/>
    <hyperlink xmlns:r="http://schemas.openxmlformats.org/officeDocument/2006/relationships" ref="R46" display="https://www.avito.ru/moskva/avtomobili/tesla_model_y_at_2021_39_000_km_3965525550" r:id="rId45"/>
    <hyperlink xmlns:r="http://schemas.openxmlformats.org/officeDocument/2006/relationships" ref="R47" display="https://www.avito.ru/moskva/avtomobili/tesla_model_y_at_2022_29_000_km_4316459576" r:id="rId46"/>
    <hyperlink xmlns:r="http://schemas.openxmlformats.org/officeDocument/2006/relationships" ref="R48" display="https://www.avito.ru/all/avtomobili/tesla/model_y-ASgBAgICAkTgtg2umSjitg22qTo?cd=1&amp;s=104" r:id="rId47"/>
    <hyperlink xmlns:r="http://schemas.openxmlformats.org/officeDocument/2006/relationships" ref="R49" display="https://www.avito.ru/sochi/avtomobili/tesla_model_y_at_2022_60_000_km_8052813749" r:id="rId48"/>
    <hyperlink xmlns:r="http://schemas.openxmlformats.org/officeDocument/2006/relationships" ref="R50" display="https://www.avito.ru/moskva/avtomobili/tesla_model_y_at_2022_48_000_km_8079671471" r:id="rId49"/>
    <hyperlink xmlns:r="http://schemas.openxmlformats.org/officeDocument/2006/relationships" ref="R51" display="https://www.avito.ru/kaliningrad/avtomobili/tesla_model_y_at_2022_59_600_km_8104912278" r:id="rId50"/>
    <hyperlink xmlns:r="http://schemas.openxmlformats.org/officeDocument/2006/relationships" ref="R52" display="https://www.avito.ru/kazan/avtomobili/tesla_model_y_at_2022_25_000_km_8052504546" r:id="rId51"/>
    <hyperlink xmlns:r="http://schemas.openxmlformats.org/officeDocument/2006/relationships" ref="R53" display="https://www.avito.ru/kostroma/avtomobili/tesla_model_y_at_2022_53_100_km_8173710409" r:id="rId52"/>
    <hyperlink xmlns:r="http://schemas.openxmlformats.org/officeDocument/2006/relationships" ref="R54" display="https://www.avito.ru/moskva/avtomobili/tesla_model_y_at_2022_63_000_km_8099221503" r:id="rId53"/>
    <hyperlink xmlns:r="http://schemas.openxmlformats.org/officeDocument/2006/relationships" ref="R55" display="https://www.avito.ru/all/avtomobili/tesla/model_y-ASgBAgICAkTgtg2umSjitg22qTo?cd=1&amp;s=104" r:id="rId54"/>
    <hyperlink xmlns:r="http://schemas.openxmlformats.org/officeDocument/2006/relationships" ref="R56" display="https://www.avito.ru/all/avtomobili/tesla/model_y-ASgBAgICAkTgtg2umSjitg22qTo?cd=1&amp;s=104" r:id="rId55"/>
    <hyperlink xmlns:r="http://schemas.openxmlformats.org/officeDocument/2006/relationships" ref="R57" display="https://www.avito.ru/tolyatti/avtomobili/tesla_model_y_at_2022_83_000_km_8066700933" r:id="rId56"/>
    <hyperlink xmlns:r="http://schemas.openxmlformats.org/officeDocument/2006/relationships" ref="R58" display="https://www.avito.ru/all/avtomobili/tesla/model_y-ASgBAgICAkTgtg2umSjitg22qTo?cd=1&amp;s=104" r:id="rId57"/>
    <hyperlink xmlns:r="http://schemas.openxmlformats.org/officeDocument/2006/relationships" ref="R59" display="https://www.avito.ru/krasnodar/avtomobili/tesla_model_y_at_2022_45_000_km_7904687473" r:id="rId58"/>
    <hyperlink xmlns:r="http://schemas.openxmlformats.org/officeDocument/2006/relationships" ref="R60" display="https://www.avito.ru/elabuga/avtomobili/tesla_model_y_at_2022_43_000_km_7838197885" r:id="rId59"/>
    <hyperlink xmlns:r="http://schemas.openxmlformats.org/officeDocument/2006/relationships" ref="R61" display="https://www.avito.ru/all/avtomobili/tesla/model_y-ASgBAgICAkTgtg2umSjitg22qTo?cd=1&amp;s=104" r:id="rId60"/>
    <hyperlink xmlns:r="http://schemas.openxmlformats.org/officeDocument/2006/relationships" ref="R62" display="https://www.avito.ru/all/avtomobili/tesla/model_y-ASgBAgICAkTgtg2umSjitg22qTo?cd=1&amp;s=104" r:id="rId61"/>
    <hyperlink xmlns:r="http://schemas.openxmlformats.org/officeDocument/2006/relationships" ref="R63" display="https://www.avito.ru/sankt-peterburg/avtomobili/tesla_model_y_at_2022_81_000_km_7924260929" r:id="rId62"/>
    <hyperlink xmlns:r="http://schemas.openxmlformats.org/officeDocument/2006/relationships" ref="R64" display="https://www.avito.ru/all/avtomobili/tesla/model_y-ASgBAgICAkTgtg2umSjitg22qTo?cd=1&amp;s=104" r:id="rId63"/>
    <hyperlink xmlns:r="http://schemas.openxmlformats.org/officeDocument/2006/relationships" ref="R65" display="https://www.avito.ru/vladikavkaz/avtomobili/tesla_model_y_at_2022_55_000_km_7914871770" r:id="rId64"/>
    <hyperlink xmlns:r="http://schemas.openxmlformats.org/officeDocument/2006/relationships" ref="R66" display="https://www.avito.ru/ekaterinburg/avtomobili/tesla_model_y_at_2022_35_000_km_7907023318" r:id="rId65"/>
    <hyperlink xmlns:r="http://schemas.openxmlformats.org/officeDocument/2006/relationships" ref="R67" display="https://www.avito.ru/all/avtomobili/tesla/model_y-ASgBAgICAkTgtg2umSjitg22qTo?cd=1&amp;s=104" r:id="rId66"/>
    <hyperlink xmlns:r="http://schemas.openxmlformats.org/officeDocument/2006/relationships" ref="R68" display="https://www.avito.ru/all/avtomobili/tesla/model_y-ASgBAgICAkTgtg2umSjitg22qTo?cd=1&amp;s=104" r:id="rId67"/>
    <hyperlink xmlns:r="http://schemas.openxmlformats.org/officeDocument/2006/relationships" ref="R69" display="https://www.avito.ru/all/avtomobili/tesla/model_y-ASgBAgICAkTgtg2umSjitg22qTo?cd=1&amp;s=104" r:id="rId68"/>
    <hyperlink xmlns:r="http://schemas.openxmlformats.org/officeDocument/2006/relationships" ref="R70" display="https://www.avito.ru/kerch/avtomobili/tesla_model_y_at_2023_41_000_km_8066292736" r:id="rId69"/>
    <hyperlink xmlns:r="http://schemas.openxmlformats.org/officeDocument/2006/relationships" ref="R71" display="https://www.avito.ru/perm/avtomobili/tesla_model_y_at_2023_29_123_km_4231896377" r:id="rId70"/>
    <hyperlink xmlns:r="http://schemas.openxmlformats.org/officeDocument/2006/relationships" ref="R72" display="https://www.avito.ru/all/avtomobili/tesla/model_y-ASgBAgICAkTgtg2umSjitg22qTo?cd=1&amp;s=104" r:id="rId71"/>
    <hyperlink xmlns:r="http://schemas.openxmlformats.org/officeDocument/2006/relationships" ref="R73" display="https://www.avito.ru/all/avtomobili/tesla/model_y-ASgBAgICAkTgtg2umSjitg22qTo?cd=1&amp;s=104" r:id="rId72"/>
    <hyperlink xmlns:r="http://schemas.openxmlformats.org/officeDocument/2006/relationships" ref="R74" display="https://www.avito.ru/moskva/avtomobili/tesla_model_y_at_2022_130_000_km_7979073382" r:id="rId73"/>
    <hyperlink xmlns:r="http://schemas.openxmlformats.org/officeDocument/2006/relationships" ref="R75" display="https://www.avito.ru/minsk/avtomobili/tesla_model_y_at_2023_24_000_km_8045821626" r:id="rId74"/>
    <hyperlink xmlns:r="http://schemas.openxmlformats.org/officeDocument/2006/relationships" ref="R76" display="https://www.avito.ru/all/avtomobili/tesla/model_y-ASgBAgICAkTgtg2umSjitg22qTo?cd=1&amp;s=104" r:id="rId75"/>
    <hyperlink xmlns:r="http://schemas.openxmlformats.org/officeDocument/2006/relationships" ref="R77" display="https://www.avito.ru/all/avtomobili/tesla/model_y-ASgBAgICAkTgtg2umSjitg22qTo?cd=1&amp;s=104" r:id="rId76"/>
    <hyperlink xmlns:r="http://schemas.openxmlformats.org/officeDocument/2006/relationships" ref="R78" display="https://auto.ru/cars/tesla/model_y/all/?year_from=2022&amp;gear_type=ALL_WHEEL_DRIVE" r:id="rId77"/>
    <hyperlink xmlns:r="http://schemas.openxmlformats.org/officeDocument/2006/relationships" ref="R79" display="https://auto.ru/cars/tesla/model_y/all/?year_from=2022&amp;gear_type=ALL_WHEEL_DRIVE" r:id="rId78"/>
    <hyperlink xmlns:r="http://schemas.openxmlformats.org/officeDocument/2006/relationships" ref="R80" display="https://auto.ru/cars/tesla/model_y/all/?year_from=2022&amp;gear_type=ALL_WHEEL_DRIVE" r:id="rId79"/>
    <hyperlink xmlns:r="http://schemas.openxmlformats.org/officeDocument/2006/relationships" ref="R81" display="https://auto.ru/cars/tesla/model_y/all/?year_from=2022&amp;gear_type=ALL_WHEEL_DRIVE" r:id="rId80"/>
    <hyperlink xmlns:r="http://schemas.openxmlformats.org/officeDocument/2006/relationships" ref="R82" display="https://auto.ru/cars/tesla/model_y/all/?year_from=2022&amp;gear_type=ALL_WHEEL_DRIVE" r:id="rId81"/>
    <hyperlink xmlns:r="http://schemas.openxmlformats.org/officeDocument/2006/relationships" ref="R83" display="https://auto.ru/cars/tesla/model_y/all/?year_from=2022&amp;gear_type=ALL_WHEEL_DRIVE" r:id="rId82"/>
    <hyperlink xmlns:r="http://schemas.openxmlformats.org/officeDocument/2006/relationships" ref="R84" display="https://auto.ru/cars/tesla/model_y/all/?year_from=2022&amp;gear_type=ALL_WHEEL_DRIVE" r:id="rId83"/>
    <hyperlink xmlns:r="http://schemas.openxmlformats.org/officeDocument/2006/relationships" ref="R85" display="https://auto.ru/cars/tesla/model_y/all/?year_from=2022&amp;gear_type=ALL_WHEEL_DRIVE" r:id="rId84"/>
    <hyperlink xmlns:r="http://schemas.openxmlformats.org/officeDocument/2006/relationships" ref="R86" display="https://auto.ru/cars/tesla/model_y/all/?year_from=2022&amp;gear_type=ALL_WHEEL_DRIVE" r:id="rId85"/>
    <hyperlink xmlns:r="http://schemas.openxmlformats.org/officeDocument/2006/relationships" ref="R87" display="https://auto.ru/cars/tesla/model_y/all/?year_from=2022&amp;gear_type=ALL_WHEEL_DRIVE" r:id="rId86"/>
    <hyperlink xmlns:r="http://schemas.openxmlformats.org/officeDocument/2006/relationships" ref="R88" display="https://auto.ru/cars/tesla/model_y/all/?year_from=2022&amp;gear_type=ALL_WHEEL_DRIVE" r:id="rId87"/>
    <hyperlink xmlns:r="http://schemas.openxmlformats.org/officeDocument/2006/relationships" ref="R89" display="https://auto.ru/cars/tesla/model_y/all/?year_from=2022&amp;gear_type=ALL_WHEEL_DRIVE" r:id="rId88"/>
    <hyperlink xmlns:r="http://schemas.openxmlformats.org/officeDocument/2006/relationships" ref="R90" display="https://auto.ru/cars/tesla/model_y/all/?year_from=2022&amp;gear_type=ALL_WHEEL_DRIVE" r:id="rId89"/>
    <hyperlink xmlns:r="http://schemas.openxmlformats.org/officeDocument/2006/relationships" ref="R91" display="https://auto.ru/cars/tesla/model_y/all/?year_from=2022&amp;gear_type=ALL_WHEEL_DRIVE" r:id="rId90"/>
    <hyperlink xmlns:r="http://schemas.openxmlformats.org/officeDocument/2006/relationships" ref="R92" display="https://auto.ru/cars/tesla/model_y/all/?year_from=2022&amp;gear_type=ALL_WHEEL_DRIVE" r:id="rId91"/>
    <hyperlink xmlns:r="http://schemas.openxmlformats.org/officeDocument/2006/relationships" ref="R93" display="https://auto.ru/cars/tesla/model_y/all/?year_from=2022&amp;gear_type=ALL_WHEEL_DRIVE" r:id="rId92"/>
    <hyperlink xmlns:r="http://schemas.openxmlformats.org/officeDocument/2006/relationships" ref="R94" display="https://auto.ru/cars/tesla/model_y/all/?year_from=2022&amp;gear_type=ALL_WHEEL_DRIVE" r:id="rId93"/>
    <hyperlink xmlns:r="http://schemas.openxmlformats.org/officeDocument/2006/relationships" ref="R95" display="https://auto.ru/cars/tesla/model_y/all/?year_from=2022&amp;gear_type=ALL_WHEEL_DRIVE" r:id="rId94"/>
    <hyperlink xmlns:r="http://schemas.openxmlformats.org/officeDocument/2006/relationships" ref="R96" display="https://auto.ru/cars/tesla/model_y/all/?year_from=2022&amp;gear_type=ALL_WHEEL_DRIVE" r:id="rId95"/>
    <hyperlink xmlns:r="http://schemas.openxmlformats.org/officeDocument/2006/relationships" ref="R97" display="https://auto.ru/cars/tesla/model_y/all/?year_from=2022&amp;gear_type=ALL_WHEEL_DRIVE" r:id="rId96"/>
    <hyperlink xmlns:r="http://schemas.openxmlformats.org/officeDocument/2006/relationships" ref="R98" display="https://auto.ru/cars/tesla/model_y/all/?year_from=2022&amp;gear_type=ALL_WHEEL_DRIVE" r:id="rId97"/>
    <hyperlink xmlns:r="http://schemas.openxmlformats.org/officeDocument/2006/relationships" ref="R99" display="https://auto.ru/cars/tesla/model_y/all/?year_from=2022&amp;gear_type=ALL_WHEEL_DRIVE" r:id="rId98"/>
    <hyperlink xmlns:r="http://schemas.openxmlformats.org/officeDocument/2006/relationships" ref="R100" display="https://auto.ru/cars/tesla/model_y/all/?year_from=2022&amp;gear_type=ALL_WHEEL_DRIVE" r:id="rId99"/>
    <hyperlink xmlns:r="http://schemas.openxmlformats.org/officeDocument/2006/relationships" ref="R101" display="https://auto.ru/cars/tesla/model_y/all/?year_from=2022&amp;gear_type=ALL_WHEEL_DRIVE" r:id="rId100"/>
    <hyperlink xmlns:r="http://schemas.openxmlformats.org/officeDocument/2006/relationships" ref="R102" display="https://auto.ru/cars/tesla/model_y/all/?year_from=2022&amp;gear_type=ALL_WHEEL_DRIVE" r:id="rId101"/>
    <hyperlink xmlns:r="http://schemas.openxmlformats.org/officeDocument/2006/relationships" ref="R103" display="https://auto.ru/cars/tesla/model_y/all/?year_from=2022&amp;gear_type=ALL_WHEEL_DRIVE" r:id="rId102"/>
    <hyperlink xmlns:r="http://schemas.openxmlformats.org/officeDocument/2006/relationships" ref="R104" display="https://auto.ru/cars/tesla/model_y/all/?year_from=2022&amp;gear_type=ALL_WHEEL_DRIVE" r:id="rId103"/>
    <hyperlink xmlns:r="http://schemas.openxmlformats.org/officeDocument/2006/relationships" ref="R105" display="https://auto.ru/cars/tesla/model_y/all/?year_from=2022&amp;gear_type=ALL_WHEEL_DRIVE" r:id="rId104"/>
    <hyperlink xmlns:r="http://schemas.openxmlformats.org/officeDocument/2006/relationships" ref="R106" display="https://auto.ru/cars/tesla/model_y/all/?year_from=2022&amp;gear_type=ALL_WHEEL_DRIVE" r:id="rId105"/>
    <hyperlink xmlns:r="http://schemas.openxmlformats.org/officeDocument/2006/relationships" ref="R107" display="https://auto.ru/cars/tesla/model_y/all/?year_from=2022&amp;gear_type=ALL_WHEEL_DRIVE" r:id="rId106"/>
    <hyperlink xmlns:r="http://schemas.openxmlformats.org/officeDocument/2006/relationships" ref="R108" display="https://auto.ru/cars/tesla/model_y/all/?year_from=2022&amp;gear_type=ALL_WHEEL_DRIVE" r:id="rId107"/>
    <hyperlink xmlns:r="http://schemas.openxmlformats.org/officeDocument/2006/relationships" ref="R109" display="https://auto.ru/cars/tesla/model_y/all/?year_from=2022&amp;gear_type=ALL_WHEEL_DRIVE" r:id="rId108"/>
    <hyperlink xmlns:r="http://schemas.openxmlformats.org/officeDocument/2006/relationships" ref="R110" display="https://auto.ru/cars/tesla/model_y/all/?year_from=2022&amp;gear_type=ALL_WHEEL_DRIVE" r:id="rId109"/>
    <hyperlink xmlns:r="http://schemas.openxmlformats.org/officeDocument/2006/relationships" ref="R111" display="https://auto.ru/cars/tesla/model_y/all/?year_from=2022&amp;gear_type=ALL_WHEEL_DRIVE" r:id="rId110"/>
    <hyperlink xmlns:r="http://schemas.openxmlformats.org/officeDocument/2006/relationships" ref="R112" display="https://auto.ru/cars/tesla/model_y/all/?year_from=2022&amp;gear_type=ALL_WHEEL_DRIVE" r:id="rId111"/>
    <hyperlink xmlns:r="http://schemas.openxmlformats.org/officeDocument/2006/relationships" ref="R113" display="https://auto.ru/cars/tesla/model_y/all/?year_from=2022&amp;gear_type=ALL_WHEEL_DRIVE" r:id="rId112"/>
    <hyperlink xmlns:r="http://schemas.openxmlformats.org/officeDocument/2006/relationships" ref="R114" display="https://auto.ru/cars/tesla/model_y/all/?year_from=2022&amp;gear_type=ALL_WHEEL_DRIVE" r:id="rId113"/>
    <hyperlink xmlns:r="http://schemas.openxmlformats.org/officeDocument/2006/relationships" ref="R115" display="https://auto.ru/cars/tesla/model_y/all/?year_from=2022&amp;gear_type=ALL_WHEEL_DRIVE" r:id="rId114"/>
    <hyperlink xmlns:r="http://schemas.openxmlformats.org/officeDocument/2006/relationships" ref="R116" display="https://auto.ru/cars/tesla/model_y/all/?year_from=2022&amp;gear_type=ALL_WHEEL_DRIVE" r:id="rId115"/>
    <hyperlink xmlns:r="http://schemas.openxmlformats.org/officeDocument/2006/relationships" ref="R117" display="https://auto.ru/cars/tesla/model_y/all/?year_from=2022&amp;gear_type=ALL_WHEEL_DRIVE" r:id="rId116"/>
    <hyperlink xmlns:r="http://schemas.openxmlformats.org/officeDocument/2006/relationships" ref="R118" display="https://www.avito.ru/ulyanovsk/avtomobili/tesla_model_y_at_2021_60_000_km_8093218887" r:id="rId117"/>
    <hyperlink xmlns:r="http://schemas.openxmlformats.org/officeDocument/2006/relationships" ref="R119" display="https://www.avito.ru/podolsk/avtomobili/tesla_model_y_at_2022_68_000_km_8068864754" r:id="rId118"/>
    <hyperlink xmlns:r="http://schemas.openxmlformats.org/officeDocument/2006/relationships" ref="R120" display="https://www.avito.ru/kultaevo/avtomobili/tesla_model_y_at_2020_65_000_km_8092549136" r:id="rId119"/>
    <hyperlink xmlns:r="http://schemas.openxmlformats.org/officeDocument/2006/relationships" ref="R121" display="https://www.avito.ru/tolyatti/avtomobili/tesla_model_y_at_2023_29_000_km_8137492178" r:id="rId120"/>
    <hyperlink xmlns:r="http://schemas.openxmlformats.org/officeDocument/2006/relationships" ref="R122" display="https://www.avito.ru/moskva/avtomobili/tesla_model_y_at_2022_40_000_km_8062123497" r:id="rId121"/>
    <hyperlink xmlns:r="http://schemas.openxmlformats.org/officeDocument/2006/relationships" ref="R123" display="https://www.avito.ru/moskva/avtomobili/tesla_model_y_at_2022_48_000_km_8079671471" r:id="rId12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4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63" min="1" max="1"/>
    <col width="22" customWidth="1" style="63" min="2" max="4"/>
  </cols>
  <sheetData>
    <row r="1" ht="17.25" customHeight="1" s="64">
      <c r="A1" s="96" t="inlineStr">
        <is>
          <t>Tesla Model Y 2022+ AWD — Сводная статистика по российскому рынку</t>
        </is>
      </c>
    </row>
    <row r="2" ht="15" customHeight="1" s="64">
      <c r="A2" s="97" t="inlineStr">
        <is>
          <t>Источники: Avito/Drom, Telegram @TeslaRUShop, лизинговые компании, дилерские каналы</t>
        </is>
      </c>
    </row>
    <row r="3" ht="15" customHeight="1" s="64">
      <c r="A3" s="97" t="inlineStr">
        <is>
          <t>Дата обновления: 20 мая 2026</t>
        </is>
      </c>
    </row>
    <row r="4"/>
    <row r="5" ht="15" customHeight="1" s="64">
      <c r="A5" s="98" t="inlineStr">
        <is>
          <t>1. РАСПРЕДЕЛЕНИЕ ПО ИСТОЧНИКАМ</t>
        </is>
      </c>
    </row>
    <row r="6" ht="15" customHeight="1" s="64">
      <c r="A6" s="99" t="inlineStr">
        <is>
          <t>Источник</t>
        </is>
      </c>
      <c r="B6" s="99" t="inlineStr">
        <is>
          <t>Кол-во</t>
        </is>
      </c>
      <c r="C6" s="99" t="inlineStr">
        <is>
          <t>Мин. цена (₽)</t>
        </is>
      </c>
      <c r="D6" s="99" t="inlineStr">
        <is>
          <t>Макс. цена (₽)</t>
        </is>
      </c>
    </row>
    <row r="7" ht="15" customHeight="1" s="64">
      <c r="A7" s="100" t="inlineStr">
        <is>
          <t>Лизинг (изъятая)</t>
        </is>
      </c>
      <c r="B7" s="101">
        <f>COUNTIF(Предложения!B2:B123,"Sravni*")</f>
        <v/>
      </c>
      <c r="C7" s="102">
        <f>SUMPRODUCT(MIN(IF(LEFT(Предложения!B2:B123,6)="Sravni",Предложения!M2:M123)))</f>
        <v/>
      </c>
      <c r="D7" s="102">
        <f>SUMPRODUCT(MAX(IF(LEFT(Предложения!B2:B123,6)="Sravni",Предложения!M2:M123)))</f>
        <v/>
      </c>
    </row>
    <row r="8" ht="15" customHeight="1" s="64">
      <c r="A8" s="100" t="inlineStr">
        <is>
          <t>Telegram @TeslaRUShop</t>
        </is>
      </c>
      <c r="B8" s="101">
        <f>COUNTIF(Предложения!B2:B123,"Telegram*")</f>
        <v/>
      </c>
      <c r="C8" s="102">
        <f>SUMPRODUCT(MIN(IF(LEFT(Предложения!B2:B123,8)="Telegram",Предложения!M2:M123)))</f>
        <v/>
      </c>
      <c r="D8" s="102">
        <f>SUMPRODUCT(MAX(IF(LEFT(Предложения!B2:B123,8)="Telegram",Предложения!M2:M123)))</f>
        <v/>
      </c>
    </row>
    <row r="9" ht="15" customHeight="1" s="64">
      <c r="A9" s="100" t="inlineStr">
        <is>
          <t>Drom (зеркало Avito)</t>
        </is>
      </c>
      <c r="B9" s="101">
        <f>COUNTIF(Предложения!B2:B123,"Drom*")</f>
        <v/>
      </c>
      <c r="C9" s="102">
        <f>SUMPRODUCT(MIN(IF(LEFT(Предложения!B2:B123,4)="Drom",Предложения!M2:M123)))</f>
        <v/>
      </c>
      <c r="D9" s="102">
        <f>SUMPRODUCT(MAX(IF(LEFT(Предложения!B2:B123,4)="Drom",Предложения!M2:M123)))</f>
        <v/>
      </c>
    </row>
    <row r="10" ht="15" customHeight="1" s="64">
      <c r="A10" s="100" t="inlineStr">
        <is>
          <t>Дилерские каналы</t>
        </is>
      </c>
      <c r="B10" s="101">
        <f>COUNTIF(Предложения!B2:B123,"Дилер*")</f>
        <v/>
      </c>
      <c r="C10" s="102">
        <f>SUMPRODUCT(MIN(IF(LEFT(Предложения!B2:B123,5)="Дилер",Предложения!M2:M123)))</f>
        <v/>
      </c>
      <c r="D10" s="102">
        <f>SUMPRODUCT(MAX(IF(LEFT(Предложения!B2:B123,5)="Дилер",Предложения!M2:M123)))</f>
        <v/>
      </c>
    </row>
    <row r="11" ht="15" customHeight="1" s="64">
      <c r="A11" s="103" t="inlineStr">
        <is>
          <t>Avito</t>
        </is>
      </c>
      <c r="B11" s="104">
        <f>COUNTIF(Предложения!B2:B123,"Avito*")</f>
        <v/>
      </c>
      <c r="C11" s="105">
        <f>SUMPRODUCT(MIN(IF(LEFT(Предложения!B2:B123,5)="Avito",Предложения!M2:M123)))</f>
        <v/>
      </c>
      <c r="D11" s="105">
        <f>SUMPRODUCT(MAX(IF(LEFT(Предложения!B2:B123,5)="Avito",Предложения!M2:M123)))</f>
        <v/>
      </c>
    </row>
    <row r="12" ht="15" customHeight="1" s="64">
      <c r="A12" s="103" t="inlineStr">
        <is>
          <t>Auto.ru</t>
        </is>
      </c>
      <c r="B12" s="104">
        <f>COUNTIF(Предложения!B2:B123,"Auto.ru*")</f>
        <v/>
      </c>
      <c r="C12" s="105">
        <f>SUMPRODUCT(MIN(IF(LEFT(Предложения!B2:B123,7)="Auto.ru",Предложения!M2:M123)))</f>
        <v/>
      </c>
      <c r="D12" s="105">
        <f>SUMPRODUCT(MAX(IF(LEFT(Предложения!B2:B123,7)="Auto.ru",Предложения!M2:M123)))</f>
        <v/>
      </c>
    </row>
    <row r="13" ht="15" customHeight="1" s="64">
      <c r="A13" s="106" t="inlineStr">
        <is>
          <t>ВСЕГО</t>
        </is>
      </c>
      <c r="B13">
        <f>SUM(B7:B12)</f>
        <v/>
      </c>
      <c r="C13">
        <f>MIN(Предложения!M2:M123)</f>
        <v/>
      </c>
      <c r="D13">
        <f>MAX(Предложения!M2:M123)</f>
        <v/>
      </c>
    </row>
    <row r="14" ht="15" customHeight="1" s="64"/>
    <row r="15" ht="15" customHeight="1" s="64">
      <c r="A15" s="98" t="inlineStr">
        <is>
          <t>2. РАСПРЕДЕЛЕНИЕ ПО ГОДАМ ВЫПУСКА</t>
        </is>
      </c>
    </row>
    <row r="16" ht="15" customHeight="1" s="64">
      <c r="A16" s="99" t="inlineStr">
        <is>
          <t>Год выпуска</t>
        </is>
      </c>
      <c r="B16" s="99" t="inlineStr">
        <is>
          <t>Кол-во</t>
        </is>
      </c>
      <c r="C16" s="99" t="inlineStr">
        <is>
          <t>Средняя цена (₽)</t>
        </is>
      </c>
      <c r="D16" s="99" t="inlineStr">
        <is>
          <t>Мин. цена (₽)</t>
        </is>
      </c>
    </row>
    <row r="17" ht="15" customHeight="1" s="64">
      <c r="A17" s="101" t="n">
        <v>2020</v>
      </c>
      <c r="B17" s="101">
        <f>COUNTIF(Предложения!C2:C123,2020)</f>
        <v/>
      </c>
      <c r="C17" s="102">
        <f>IFERROR(AVERAGEIF(Предложения!C2:C123,2020,Предложения!M2:M123),"-")</f>
        <v/>
      </c>
      <c r="D17" s="102">
        <f>SUMPRODUCT(MIN(IF(Предложения!C2:C123=2020,Предложения!M2:M123)))</f>
        <v/>
      </c>
    </row>
    <row r="18" ht="15" customHeight="1" s="64">
      <c r="A18" s="101" t="n">
        <v>2021</v>
      </c>
      <c r="B18" s="101">
        <f>COUNTIF(Предложения!C2:C123,2021)</f>
        <v/>
      </c>
      <c r="C18" s="102">
        <f>IFERROR(AVERAGEIF(Предложения!C2:C123,2021,Предложения!M2:M123),"-")</f>
        <v/>
      </c>
      <c r="D18" s="102">
        <f>SUMPRODUCT(MIN(IF(Предложения!C2:C123=2021,Предложения!M2:M123)))</f>
        <v/>
      </c>
    </row>
    <row r="19" ht="15" customHeight="1" s="64">
      <c r="A19" s="101" t="n">
        <v>2022</v>
      </c>
      <c r="B19" s="101">
        <f>COUNTIF(Предложения!C2:C123,2022)</f>
        <v/>
      </c>
      <c r="C19" s="102">
        <f>IFERROR(AVERAGEIF(Предложения!C2:C123,2022,Предложения!M2:M123),"-")</f>
        <v/>
      </c>
      <c r="D19" s="102">
        <f>SUMPRODUCT(MIN(IF(Предложения!C2:C123=2022,Предложения!M2:M123)))</f>
        <v/>
      </c>
    </row>
    <row r="20" ht="15" customHeight="1" s="64">
      <c r="A20" s="101" t="n">
        <v>2023</v>
      </c>
      <c r="B20" s="101">
        <f>COUNTIF(Предложения!C2:C123,2023)</f>
        <v/>
      </c>
      <c r="C20" s="102">
        <f>IFERROR(AVERAGEIF(Предложения!C2:C123,2023,Предложения!M2:M123),"-")</f>
        <v/>
      </c>
      <c r="D20" s="102">
        <f>SUMPRODUCT(MIN(IF(Предложения!C2:C123=2023,Предложения!M2:M123)))</f>
        <v/>
      </c>
    </row>
    <row r="21" ht="15" customHeight="1" s="64">
      <c r="A21" s="101" t="n">
        <v>2024</v>
      </c>
      <c r="B21">
        <f>COUNTIF(Предложения!C2:C123,2024)</f>
        <v/>
      </c>
      <c r="C21">
        <f>IFERROR(AVERAGEIF(Предложения!C2:C123,2024,Предложения!M2:M123),"-")</f>
        <v/>
      </c>
      <c r="D21">
        <f>SUMPRODUCT(MIN(IF(Предложения!C2:C123=2024,Предложения!M2:M123)))</f>
        <v/>
      </c>
    </row>
    <row r="22" ht="15" customHeight="1" s="64">
      <c r="A22" t="n">
        <v>2025</v>
      </c>
      <c r="B22">
        <f>COUNTIF(Предложения!C2:C123,2025)</f>
        <v/>
      </c>
      <c r="C22">
        <f>IFERROR(AVERAGEIF(Предложения!C2:C123,2025,Предложения!M2:M123),"-")</f>
        <v/>
      </c>
      <c r="D22">
        <f>SUMPRODUCT(MIN(IF(Предложения!C2:C123=2025,Предложения!M2:M123)))</f>
        <v/>
      </c>
    </row>
    <row r="23" ht="15" customHeight="1" s="64">
      <c r="A23" s="98" t="inlineStr">
        <is>
          <t>3. РАСПРЕДЕЛЕНИЕ ПО ТИПУ ПРОДАВЦА</t>
        </is>
      </c>
    </row>
    <row r="24" ht="15" customHeight="1" s="64">
      <c r="A24" s="99" t="inlineStr">
        <is>
          <t>Тип продавца</t>
        </is>
      </c>
      <c r="B24" s="99" t="inlineStr">
        <is>
          <t>Кол-во</t>
        </is>
      </c>
      <c r="C24" s="99" t="inlineStr">
        <is>
          <t>Средняя цена (₽)</t>
        </is>
      </c>
      <c r="D24" s="99" t="inlineStr">
        <is>
          <t>Доля (%)</t>
        </is>
      </c>
    </row>
    <row r="25" ht="15" customHeight="1" s="64">
      <c r="A25" s="100" t="inlineStr">
        <is>
          <t>Физлицо</t>
        </is>
      </c>
      <c r="B25" s="101">
        <f>COUNTIF(Предложения!O2:O123,"Физлицо*")+COUNTIF(Предложения!O2:O123,"ИП*")</f>
        <v/>
      </c>
      <c r="C25" s="102">
        <f>AVERAGEIF(Предложения!O2:O123,"Физлицо*",Предложения!M2:M123)</f>
        <v/>
      </c>
      <c r="D25" s="107">
        <f>B25/COUNTA(Предложения!O2:O123)</f>
        <v/>
      </c>
    </row>
    <row r="26" ht="15" customHeight="1" s="64">
      <c r="A26" s="100" t="inlineStr">
        <is>
          <t>Юрлицо / Дилер</t>
        </is>
      </c>
      <c r="B26" s="101">
        <f>COUNTIF(Предложения!O2:O123,"Юрлицо*")+COUNTIF(Предложения!O2:O123,"Автосалон*")</f>
        <v/>
      </c>
      <c r="C26" s="102">
        <f>AVERAGEIF(Предложения!O2:O123,"Юрлицо*",Предложения!M2:M123)</f>
        <v/>
      </c>
      <c r="D26" s="107">
        <f>B26/COUNTA(Предложения!O2:O123)</f>
        <v/>
      </c>
    </row>
    <row r="27" ht="15" customHeight="1" s="64">
      <c r="A27" s="100" t="inlineStr">
        <is>
          <t>Частник / Прочее</t>
        </is>
      </c>
      <c r="B27" s="101">
        <f>COUNTA(Предложения!O2:O123)-B25-B26</f>
        <v/>
      </c>
      <c r="C27" s="102">
        <f>AVERAGEIF(Предложения!O2:O123,"Проверенный*",Предложения!M2:M123)</f>
        <v/>
      </c>
      <c r="D27" s="107">
        <f>B27/COUNTA(Предложения!O2:O123)</f>
        <v/>
      </c>
    </row>
    <row r="28" ht="15" customHeight="1" s="64">
      <c r="A28" s="63" t="n"/>
    </row>
    <row r="29" ht="15" customHeight="1" s="64"/>
    <row r="30" ht="15" customHeight="1" s="64">
      <c r="A30" s="98" t="inlineStr">
        <is>
          <t>4. ЦЕНОВЫЕ СЕГМЕНТЫ</t>
        </is>
      </c>
    </row>
    <row r="31" ht="15" customHeight="1" s="64">
      <c r="A31" s="99" t="inlineStr">
        <is>
          <t>Сегмент</t>
        </is>
      </c>
      <c r="B31" s="99" t="inlineStr">
        <is>
          <t>Диапазон (₽)</t>
        </is>
      </c>
      <c r="C31" s="99" t="inlineStr">
        <is>
          <t>Кол-во</t>
        </is>
      </c>
      <c r="D31" s="99" t="inlineStr">
        <is>
          <t>Средн. пробег (км)</t>
        </is>
      </c>
    </row>
    <row r="32" ht="15" customHeight="1" s="64">
      <c r="A32" s="108" t="inlineStr">
        <is>
          <t>Бюджетный</t>
        </is>
      </c>
      <c r="B32" s="101" t="inlineStr">
        <is>
          <t>до 4 500 000</t>
        </is>
      </c>
      <c r="C32" s="101">
        <f>COUNTIFS(Предложения!M2:M123,"&lt;=4500000")</f>
        <v/>
      </c>
      <c r="D32" s="109">
        <f>AVERAGEIFS(Предложения!F2:F123,Предложения!M2:M123,"&lt;=4500000")</f>
        <v/>
      </c>
    </row>
    <row r="33" ht="15" customHeight="1" s="64">
      <c r="A33" s="108" t="inlineStr">
        <is>
          <t>Средний</t>
        </is>
      </c>
      <c r="B33" s="101" t="inlineStr">
        <is>
          <t>4 500 001 – 6 000 000</t>
        </is>
      </c>
      <c r="C33" s="101">
        <f>COUNTIFS(Предложения!M2:M123,"&gt;4500000",Предложения!M2:M123,"&lt;=6000000")</f>
        <v/>
      </c>
      <c r="D33" s="109">
        <f>AVERAGEIFS(Предложения!F2:F123,Предложения!M2:M123,"&gt;4500000",Предложения!M2:M123,"&lt;=6000000")</f>
        <v/>
      </c>
    </row>
    <row r="34" ht="15" customHeight="1" s="64">
      <c r="A34" s="108" t="inlineStr">
        <is>
          <t>Премиум б/у</t>
        </is>
      </c>
      <c r="B34" s="101" t="inlineStr">
        <is>
          <t>6 000 001 – 7 500 000</t>
        </is>
      </c>
      <c r="C34" s="101">
        <f>COUNTIFS(Предложения!M2:M123,"&gt;6000000",Предложения!M2:M123,"&lt;=7500000")</f>
        <v/>
      </c>
      <c r="D34" s="109">
        <f>AVERAGEIFS(Предложения!F2:F123,Предложения!M2:M123,"&gt;6000000",Предложения!M2:M123,"&lt;=7500000")</f>
        <v/>
      </c>
    </row>
    <row r="35" ht="15" customHeight="1" s="64">
      <c r="A35" s="108" t="inlineStr">
        <is>
          <t>Новые / под заказ</t>
        </is>
      </c>
      <c r="B35" s="101" t="inlineStr">
        <is>
          <t>свыше 7 500 000</t>
        </is>
      </c>
      <c r="C35" s="101">
        <f>COUNTIFS(Предложения!M2:M123,"&gt;7500000")</f>
        <v/>
      </c>
      <c r="D35" s="109">
        <f>AVERAGEIFS(Предложения!F2:F123,Предложения!M2:M123,"&gt;7500000")</f>
        <v/>
      </c>
    </row>
    <row r="36" ht="15" customHeight="1" s="64">
      <c r="A36" s="63" t="n"/>
    </row>
    <row r="37" ht="15" customHeight="1" s="64"/>
    <row r="38" ht="15" customHeight="1" s="64">
      <c r="A38" s="98" t="inlineStr">
        <is>
          <t>5. КЛЮЧЕВЫЕ ПОКАЗАТЕЛИ</t>
        </is>
      </c>
    </row>
    <row r="39" ht="15" customHeight="1" s="64">
      <c r="A39" s="110" t="inlineStr">
        <is>
          <t>Самое дешёвое предложение (₽)</t>
        </is>
      </c>
      <c r="B39" s="75">
        <f>MIN(Предложения!M2:M123)</f>
        <v/>
      </c>
    </row>
    <row r="40" ht="15" customHeight="1" s="64">
      <c r="A40" s="110" t="inlineStr">
        <is>
          <t>Самое дорогое предложение (₽)</t>
        </is>
      </c>
      <c r="B40" s="75">
        <f>MAX(Предложения!M2:M123)</f>
        <v/>
      </c>
    </row>
    <row r="41" ht="15" customHeight="1" s="64">
      <c r="A41" s="110" t="inlineStr">
        <is>
          <t>Средняя цена по рынку (₽)</t>
        </is>
      </c>
      <c r="B41" s="75">
        <f>AVERAGE(Предложения!M2:M123)</f>
        <v/>
      </c>
    </row>
    <row r="42" ht="15" customHeight="1" s="64">
      <c r="A42" s="110" t="inlineStr">
        <is>
          <t>Медианная цена (₽)</t>
        </is>
      </c>
      <c r="B42" s="75">
        <f>MEDIAN(Предложения!M2:M123)</f>
        <v/>
      </c>
    </row>
    <row r="43" ht="15" customHeight="1" s="64">
      <c r="A43" s="110" t="inlineStr">
        <is>
          <t>Средний пробег б/у (км)</t>
        </is>
      </c>
      <c r="B43" s="111">
        <f>AVERAGEIF(Предложения!F2:F123,"&gt;0")</f>
        <v/>
      </c>
    </row>
    <row r="44" ht="15" customHeight="1" s="64">
      <c r="A44" s="110" t="inlineStr">
        <is>
          <t>Доля предложений без ДТП (%)</t>
        </is>
      </c>
      <c r="B44" s="112">
        <f>COUNTIF(Предложения!J2:J123,"Нет")/COUNTA(Предложения!J2:J123)</f>
        <v/>
      </c>
    </row>
    <row r="45" ht="15" customHeight="1" s="64">
      <c r="A45" s="110" t="inlineStr">
        <is>
          <t>Количество новых (пробег = 0)</t>
        </is>
      </c>
      <c r="B45" s="111">
        <f>COUNTIF(Предложения!F2:F123,0)</f>
        <v/>
      </c>
    </row>
    <row r="46" ht="15" customHeight="1" s="64">
      <c r="A46" s="110" t="inlineStr">
        <is>
          <t>Количество с пробегом</t>
        </is>
      </c>
      <c r="B46" s="111">
        <f>COUNTIF(Предложения!F2:F123,"&gt;0")</f>
        <v/>
      </c>
    </row>
  </sheetData>
  <mergeCells count="6">
    <mergeCell ref="A1:D1"/>
    <mergeCell ref="A5:D5"/>
    <mergeCell ref="A3:D3"/>
    <mergeCell ref="A2:D2"/>
    <mergeCell ref="A28:D28"/>
    <mergeCell ref="A36:D3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63" min="1" max="1"/>
    <col width="80" customWidth="1" style="63" min="2" max="2"/>
  </cols>
  <sheetData>
    <row r="1" ht="17.25" customHeight="1" s="64">
      <c r="A1" s="96" t="inlineStr">
        <is>
          <t>Tesla Model Y 2022+ AWD — Условные обозначения и важные примечания</t>
        </is>
      </c>
    </row>
    <row r="2" ht="30" customHeight="1" s="64">
      <c r="A2" s="113" t="n"/>
      <c r="B2" s="114" t="n"/>
    </row>
    <row r="3" ht="30" customHeight="1" s="64">
      <c r="A3" s="113" t="inlineStr">
        <is>
          <t>Дата отчёта</t>
        </is>
      </c>
      <c r="B3" s="114" t="inlineStr">
        <is>
          <t>20 мая 2026</t>
        </is>
      </c>
    </row>
    <row r="4" ht="30" customHeight="1" s="64">
      <c r="A4" s="113" t="inlineStr">
        <is>
          <t>Курс ЦБ РФ</t>
        </is>
      </c>
      <c r="B4" s="114" t="inlineStr">
        <is>
          <t>€ = 82,7871 ₽ | $ = 71,2926 ₽</t>
        </is>
      </c>
    </row>
    <row r="5" ht="30" customHeight="1" s="64">
      <c r="A5" s="113" t="n"/>
      <c r="B5" s="114" t="n"/>
    </row>
    <row r="6" ht="30" customHeight="1" s="64">
      <c r="A6" s="115" t="inlineStr">
        <is>
          <t>ЦВЕТОВАЯ ИНДИКАЦИЯ СТРОК</t>
        </is>
      </c>
    </row>
    <row r="7" ht="30" customHeight="1" s="64">
      <c r="A7" s="113" t="inlineStr">
        <is>
          <t>Жёлтый фон</t>
        </is>
      </c>
      <c r="B7" s="114" t="inlineStr">
        <is>
          <t>Изъятая лизинговая техника (особо интересная категория)</t>
        </is>
      </c>
    </row>
    <row r="8" ht="30" customHeight="1" s="64">
      <c r="A8" s="113" t="inlineStr">
        <is>
          <t>Красный фон</t>
        </is>
      </c>
      <c r="B8" s="114" t="inlineStr">
        <is>
          <t>Подозрительно низкая цена — требует тщательной проверки</t>
        </is>
      </c>
    </row>
    <row r="9" ht="30" customHeight="1" s="64">
      <c r="A9" s="113" t="inlineStr">
        <is>
          <t>Чередующиеся голубые/белые</t>
        </is>
      </c>
      <c r="B9" s="114" t="inlineStr">
        <is>
          <t>Обычные предложения</t>
        </is>
      </c>
    </row>
    <row r="10" ht="30" customHeight="1" s="64">
      <c r="A10" s="113" t="n"/>
      <c r="B10" s="114" t="n"/>
    </row>
    <row r="11" ht="30" customHeight="1" s="64">
      <c r="A11" s="115" t="inlineStr">
        <is>
          <t>РАСШИФРОВКА КОДОВ VIN (10-й символ = год модели)</t>
        </is>
      </c>
    </row>
    <row r="12" ht="30" customHeight="1" s="64">
      <c r="A12" s="113" t="inlineStr">
        <is>
          <t>M</t>
        </is>
      </c>
      <c r="B12" s="114" t="inlineStr">
        <is>
          <t>Модельный год 2021</t>
        </is>
      </c>
    </row>
    <row r="13" ht="30" customHeight="1" s="64">
      <c r="A13" s="113" t="inlineStr">
        <is>
          <t>N</t>
        </is>
      </c>
      <c r="B13" s="114" t="inlineStr">
        <is>
          <t>Модельный год 2022</t>
        </is>
      </c>
    </row>
    <row r="14" ht="30" customHeight="1" s="64">
      <c r="A14" s="113" t="inlineStr">
        <is>
          <t>P</t>
        </is>
      </c>
      <c r="B14" s="114" t="inlineStr">
        <is>
          <t>Модельный год 2023</t>
        </is>
      </c>
    </row>
    <row r="15" ht="30" customHeight="1" s="64">
      <c r="A15" s="113" t="inlineStr">
        <is>
          <t>R</t>
        </is>
      </c>
      <c r="B15" s="114" t="inlineStr">
        <is>
          <t>Модельный год 2024</t>
        </is>
      </c>
    </row>
    <row r="16" ht="30" customHeight="1" s="64">
      <c r="A16" s="113" t="inlineStr">
        <is>
          <t>S</t>
        </is>
      </c>
      <c r="B16" s="114" t="inlineStr">
        <is>
          <t>Модельный год 2025</t>
        </is>
      </c>
    </row>
    <row r="17" ht="30" customHeight="1" s="64">
      <c r="A17" s="113" t="n"/>
      <c r="B17" s="114" t="n"/>
    </row>
    <row r="18" ht="30" customHeight="1" s="64">
      <c r="A18" s="115" t="inlineStr">
        <is>
          <t>ПЕРВЫЕ 3 СИМВОЛА VIN</t>
        </is>
      </c>
    </row>
    <row r="19" ht="30" customHeight="1" s="64">
      <c r="A19" s="113" t="inlineStr">
        <is>
          <t>5YJ или 7SA</t>
        </is>
      </c>
      <c r="B19" s="114" t="inlineStr">
        <is>
          <t>США (Fremont или Texas)</t>
        </is>
      </c>
    </row>
    <row r="20" ht="30" customHeight="1" s="64">
      <c r="A20" s="113" t="inlineStr">
        <is>
          <t>XP7</t>
        </is>
      </c>
      <c r="B20" s="114" t="inlineStr">
        <is>
          <t>Германия (Giga Berlin)</t>
        </is>
      </c>
    </row>
    <row r="21" ht="30" customHeight="1" s="64">
      <c r="A21" s="113" t="inlineStr">
        <is>
          <t>LRW</t>
        </is>
      </c>
      <c r="B21" s="114" t="inlineStr">
        <is>
          <t>Китай (Giga Shanghai)</t>
        </is>
      </c>
    </row>
    <row r="22" ht="30" customHeight="1" s="64">
      <c r="A22" s="113" t="n"/>
      <c r="B22" s="114" t="n"/>
    </row>
    <row r="23" ht="30" customHeight="1" s="64">
      <c r="A23" s="115" t="inlineStr">
        <is>
          <t>ВАЖНЫЕ ПРИМЕЧАНИЯ</t>
        </is>
      </c>
    </row>
    <row r="24" ht="30" customHeight="1" s="64">
      <c r="A24" s="113" t="inlineStr">
        <is>
          <t>Цена без НДС (₽)</t>
        </is>
      </c>
      <c r="B24" s="114" t="inlineStr">
        <is>
          <t>Колонка с автоматической формулой: если продавец содержит 'Физлицо' или 'Частник' — цена остаётся без изменений; для всех остальных (юрлица, дилеры, автосалоны, лизинговые компании) — цена делится на 1,22 (вычитается стандартная торговая наценка/НДС ~22%). Подсвечена светло-зелёным фоном</t>
        </is>
      </c>
    </row>
    <row r="25" ht="30" customHeight="1" s="64">
      <c r="A25" s="113" t="inlineStr">
        <is>
          <t>Активные ссылки</t>
        </is>
      </c>
      <c r="B25" s="114" t="inlineStr">
        <is>
          <t>В колонке 'Ссылка' все URL кликабельны — нажмите на синий текст, чтобы перейти к объявлению</t>
        </is>
      </c>
    </row>
    <row r="26" ht="30" customHeight="1" s="64">
      <c r="A26" s="113" t="inlineStr">
        <is>
          <t>Avito парсинг</t>
        </is>
      </c>
      <c r="B26" s="114" t="inlineStr">
        <is>
          <t>Прямой парсинг Avito заблокирован защитой сайта. Данные собраны через Drom.ru — крупнейший агрегатор-зеркало (объявления часто дублируются)</t>
        </is>
      </c>
    </row>
    <row r="27" ht="30" customHeight="1" s="64">
      <c r="A27" s="113" t="inlineStr">
        <is>
          <t>Лизинговый сегмент</t>
        </is>
      </c>
      <c r="B27" s="114" t="inlineStr">
        <is>
          <t>Парк Tesla Model Y в корпоративном лизинге РФ ограничен (~1815 машин по данным АВТОСТАТ на 01.01.2025)</t>
        </is>
      </c>
    </row>
    <row r="28" ht="30" customHeight="1" s="64">
      <c r="A28" s="113" t="inlineStr">
        <is>
          <t>Telegram</t>
        </is>
      </c>
      <c r="B28" s="114" t="inlineStr">
        <is>
          <t>Канал @TeslaRUShop (~3680 подписчиков) — главная барахолка по Tesla в РФ</t>
        </is>
      </c>
    </row>
    <row r="29" ht="30" customHeight="1" s="64">
      <c r="A29" s="113" t="inlineStr">
        <is>
          <t>Утилизационный сбор</t>
        </is>
      </c>
      <c r="B29" s="114" t="inlineStr">
        <is>
          <t>С 01.01.2025 льготная ставка для физлиц при ввозе EV отменена: с 32 600 ₽ выросла до 667 400 ₽ (рост ~20x)</t>
        </is>
      </c>
    </row>
    <row r="30" ht="30" customHeight="1" s="64">
      <c r="A30" s="113" t="inlineStr">
        <is>
          <t>Дилерские цены</t>
        </is>
      </c>
      <c r="B30" s="114" t="inlineStr">
        <is>
          <t>Moscow Tesla Club — 'под ключ' с растаможкой и ЭПТС. Electrodrivemoscow — цена в EU без таможни</t>
        </is>
      </c>
    </row>
    <row r="31" ht="30" customHeight="1" s="64">
      <c r="A31" s="113" t="inlineStr">
        <is>
          <t>Рекомендация</t>
        </is>
      </c>
      <c r="B31" s="114" t="inlineStr">
        <is>
          <t>Лучшее соотношение цена/качество — Telegram-объявления от физлиц для машин 2022-2023 г.в. с пробегом 28-64 тыс. км из Берлина/Китая</t>
        </is>
      </c>
    </row>
    <row r="32" ht="49.5" customHeight="1" s="64">
      <c r="A32" s="116" t="inlineStr">
        <is>
          <t>Описание из объявления</t>
        </is>
      </c>
      <c r="B32" s="114" t="inlineStr">
        <is>
          <t>Колонка U — оригинальные тексты описаний из карточек объявлений (Avito, Drom, Telegram @TeslaRUShop, Auto.ru). Для дилеров приведено описание из объявления; для частных объявлений — основной текст продавца. Полностью развёрнуть текст: ПКМ по ячейке → Высота строки → Авто.</t>
        </is>
      </c>
    </row>
    <row r="33" ht="75" customHeight="1" s="64">
      <c r="A33" s="116" t="inlineStr">
        <is>
          <t>Новые объявления 21.05.2026</t>
        </is>
      </c>
      <c r="B33" s="117" t="inlineStr">
        <is>
          <t>Строки 118–120 (подсвечены светло-зелёным) — это объявления Tesla Model Y AWD, опубликованные на Avito за последние 3 дня (18-21 мая 2026). Строка 118 — Ульяновск 2021 60т км 4,3 млн ₽ (продавец говорит Германия, но VIN LRWY указывает на Шанхай — несоответствие!). Строка 119 — Подольск 2022 68т км 4,0 млн ₽ AWD Performance USA. Строка 120 — Култаево 2020 65т км 4,0 млн ₽ Long Range Dual USA (вне фильтра 2022+, но AWD).</t>
        </is>
      </c>
    </row>
    <row r="34" ht="219.75" customHeight="1" s="64">
      <c r="A34" s="118" t="inlineStr">
        <is>
          <t>Telegram-проверка 21.05.2026</t>
        </is>
      </c>
      <c r="B34" s="119" t="inlineStr">
        <is>
          <t>Период: 21.02.2026 – 21.05.2026 (3 месяца). Проверены все доступные русскоязычные Tesla-каналы:
- @TeslaRUShop (Купи/продай Тесла) — основной канал, 3.67K подписчиков. За 3 месяца 6 постов о Tesla Model Y: 2 уже в таблице (строки 4 и 5: LR Шанхай 28100 км и LR Berlin 44000 км), 3 — 2021 г.в. (вне фильтра), 1 — пост #Куплю (запрос покупателя).
- @Moscow_Tesla_Club — маркетинговый канал автосалона, без объявлений.
- @teslaclubrussia — пустой канал, 9 подписчиков.
- @teslakupiprodai, @teslamarket, @teslarussia, @teslaperevozka, @teslamodely_chat — это пользовательские аккаунты, не каналы.
- @tesla_msk — закрытая группа.
- @teslacar_chat — общий чат, объявления делегируются в @TeslaRUShop.
- @TeslaRUFix — про поломки.
ИТОГ: новых уникальных объявлений Tesla Model Y AWD 2022+ за период 21.02-21.05.2026 в Telegram НЕ найдено.</t>
        </is>
      </c>
    </row>
    <row r="35" ht="199.5" customHeight="1" s="64">
      <c r="A35" s="120" t="inlineStr">
        <is>
          <t>Обновление 21.05.2026 (Avito)</t>
        </is>
      </c>
      <c r="B35" s="119" t="inlineStr">
        <is>
          <t>Период проверки: 19-21 мая 2026 (2 дня). Проверены все источники: Avito + Drom + Auto.ru + Лизинг + Telegram.
РЕЗУЛЬТАТ:
• Avito — найдено 3 НОВЫХ уникальных объявления (строки 121-123, подсвечены светло-зелёным):
  #121 Тольятти 2023 LR Dual 29000 км 5,5М ₽ (США) — был ремонт ДТП
  #122 Москва Тропарёво 2022 Long Performance 40000 км 4,499М ₽ (Berlin)
  #123 Москва Мосфильмовский 2022 LR 4WD 48000 км 4,49М ₽ — **3-й случай несоответствия Германия↔Shanghai VIN!**
• Drom — все 19-21 мая объявления уже в таблице (нет нового)
• Auto.ru — недоступен (бот блокируется)
• Лизинг (Sravni/Alfa/CARCADE) — без изменений
• Telegram — без новых постов после 04.05.2026</t>
        </is>
      </c>
    </row>
  </sheetData>
  <mergeCells count="5">
    <mergeCell ref="A11:B11"/>
    <mergeCell ref="A1:B1"/>
    <mergeCell ref="A23:B23"/>
    <mergeCell ref="A18:B18"/>
    <mergeCell ref="A6:B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63" min="1" max="1"/>
    <col width="25" customWidth="1" style="63" min="2" max="2"/>
    <col width="16" customWidth="1" style="63" min="3" max="3"/>
    <col width="70" customWidth="1" style="63" min="4" max="4"/>
    <col width="60" customWidth="1" style="63" min="5" max="5"/>
  </cols>
  <sheetData>
    <row r="1" ht="17.25" customHeight="1" s="64">
      <c r="A1" s="96" t="inlineStr">
        <is>
          <t>Сводный отчёт проверки таблицы Tesla_ModelY_AWD_2026-05-20</t>
        </is>
      </c>
    </row>
    <row r="2"/>
    <row r="3" ht="15" customHeight="1" s="64">
      <c r="A3" s="121" t="inlineStr">
        <is>
          <t>Дата проверки: 21.05.2026</t>
        </is>
      </c>
    </row>
    <row r="4"/>
    <row r="5" ht="15" customHeight="1" s="64">
      <c r="A5" s="65" t="inlineStr">
        <is>
          <t>№ Excel</t>
        </is>
      </c>
      <c r="B5" s="65" t="inlineStr">
        <is>
          <t>Категория</t>
        </is>
      </c>
      <c r="C5" s="65" t="inlineStr">
        <is>
          <t>Серьёзность</t>
        </is>
      </c>
      <c r="D5" s="65" t="inlineStr">
        <is>
          <t>Описание проблемы</t>
        </is>
      </c>
      <c r="E5" s="65" t="inlineStr">
        <is>
          <t>Действие</t>
        </is>
      </c>
    </row>
    <row r="6" ht="39.75" customHeight="1" s="64">
      <c r="A6" s="76" t="n">
        <v>3</v>
      </c>
      <c r="B6" s="76" t="inlineStr">
        <is>
          <t>VIN несоответствие</t>
        </is>
      </c>
      <c r="C6" s="76" t="inlineStr">
        <is>
          <t>🔴 Критично</t>
        </is>
      </c>
      <c r="D6" s="76" t="inlineStr">
        <is>
          <t>VIN LRWYGCEK8MC128885 — Giga Shanghai, но продавец заявляет Германия</t>
        </is>
      </c>
      <c r="E6" s="76" t="inlineStr">
        <is>
          <t>Подсвечено в столбце Y. Проверять при покупке.</t>
        </is>
      </c>
    </row>
    <row r="7" ht="39.75" customHeight="1" s="64">
      <c r="A7" s="76" t="n">
        <v>118</v>
      </c>
      <c r="B7" s="76" t="inlineStr">
        <is>
          <t>VIN несоответствие</t>
        </is>
      </c>
      <c r="C7" s="76" t="inlineStr">
        <is>
          <t>🔴 Критично</t>
        </is>
      </c>
      <c r="D7" s="76" t="inlineStr">
        <is>
          <t>VIN LRWY*** — Giga Shanghai, но продавец заявляет «из Германии»</t>
        </is>
      </c>
      <c r="E7" s="76" t="inlineStr">
        <is>
          <t>Подсвечено в столбце Y. Подозрительно — задать вопрос продавцу.</t>
        </is>
      </c>
    </row>
    <row r="8" ht="39.75" customHeight="1" s="64">
      <c r="A8" s="85" t="n">
        <v>3</v>
      </c>
      <c r="B8" s="85" t="inlineStr">
        <is>
          <t>Фильтр года</t>
        </is>
      </c>
      <c r="C8" s="85" t="inlineStr">
        <is>
          <t>🟡 Информация</t>
        </is>
      </c>
      <c r="D8" s="85" t="inlineStr">
        <is>
          <t>Год 2021 (попал из Telegram TeslaRUShop как уникальное предложение)</t>
        </is>
      </c>
      <c r="E8" s="85" t="inlineStr">
        <is>
          <t>Оставлено в таблице — пограничный случай (рестайл MY22)</t>
        </is>
      </c>
    </row>
    <row r="9" ht="39.75" customHeight="1" s="64">
      <c r="A9" s="85" t="n">
        <v>6</v>
      </c>
      <c r="B9" s="85" t="inlineStr">
        <is>
          <t>Фильтр года</t>
        </is>
      </c>
      <c r="C9" s="85" t="inlineStr">
        <is>
          <t>🟡 Информация</t>
        </is>
      </c>
      <c r="D9" s="85" t="inlineStr">
        <is>
          <t>Год 2021 (Tesla из США Copart)</t>
        </is>
      </c>
      <c r="E9" s="85" t="inlineStr">
        <is>
          <t>Оставлено в таблице</t>
        </is>
      </c>
    </row>
    <row r="10" ht="39.75" customHeight="1" s="64">
      <c r="A10" s="85" t="n">
        <v>22</v>
      </c>
      <c r="B10" s="85" t="inlineStr">
        <is>
          <t>Фильтр года</t>
        </is>
      </c>
      <c r="C10" s="85" t="inlineStr">
        <is>
          <t>🟡 Информация</t>
        </is>
      </c>
      <c r="D10" s="85" t="inlineStr">
        <is>
          <t>Год 2021 (Performance из Новороссийска, Drom)</t>
        </is>
      </c>
      <c r="E10" s="85" t="inlineStr">
        <is>
          <t>Оставлено в таблице</t>
        </is>
      </c>
    </row>
    <row r="11" ht="39.75" customHeight="1" s="64">
      <c r="A11" s="85" t="n">
        <v>62</v>
      </c>
      <c r="B11" s="85" t="inlineStr">
        <is>
          <t>Фильтр года</t>
        </is>
      </c>
      <c r="C11" s="85" t="inlineStr">
        <is>
          <t>🟡 Информация</t>
        </is>
      </c>
      <c r="D11" s="85" t="inlineStr">
        <is>
          <t>Год 2021 (LR Dual СПб)</t>
        </is>
      </c>
      <c r="E11" s="85" t="inlineStr">
        <is>
          <t>Оставлено в таблице</t>
        </is>
      </c>
    </row>
    <row r="12" ht="39.75" customHeight="1" s="64">
      <c r="A12" s="85" t="n">
        <v>63</v>
      </c>
      <c r="B12" s="85" t="inlineStr">
        <is>
          <t>Фильтр года</t>
        </is>
      </c>
      <c r="C12" s="85" t="inlineStr">
        <is>
          <t>🟡 Информация</t>
        </is>
      </c>
      <c r="D12" s="85" t="inlineStr">
        <is>
          <t>Год 2020 (Performance USA, Великие Луки)</t>
        </is>
      </c>
      <c r="E12" s="85" t="inlineStr">
        <is>
          <t>Оставлено в таблице — пограничный случай</t>
        </is>
      </c>
    </row>
    <row r="13" ht="39.75" customHeight="1" s="64">
      <c r="A13" s="85" t="n">
        <v>68</v>
      </c>
      <c r="B13" s="85" t="inlineStr">
        <is>
          <t>Фильтр года</t>
        </is>
      </c>
      <c r="C13" s="85" t="inlineStr">
        <is>
          <t>🟡 Информация</t>
        </is>
      </c>
      <c r="D13" s="85" t="inlineStr">
        <is>
          <t>Год 2021 (LR AWD Германия, Сочи)</t>
        </is>
      </c>
      <c r="E13" s="85" t="inlineStr">
        <is>
          <t>Оставлено в таблице</t>
        </is>
      </c>
    </row>
    <row r="14" ht="39.75" customHeight="1" s="64">
      <c r="A14" s="85" t="n">
        <v>74</v>
      </c>
      <c r="B14" s="85" t="inlineStr">
        <is>
          <t>Фильтр года</t>
        </is>
      </c>
      <c r="C14" s="85" t="inlineStr">
        <is>
          <t>🟡 Информация</t>
        </is>
      </c>
      <c r="D14" s="85" t="inlineStr">
        <is>
          <t>Год 2021 (AWD Performance, Магнитогорск 7-местный)</t>
        </is>
      </c>
      <c r="E14" s="85" t="inlineStr">
        <is>
          <t>Оставлено в таблице</t>
        </is>
      </c>
    </row>
    <row r="15" ht="39.75" customHeight="1" s="64">
      <c r="A15" s="85" t="n">
        <v>118</v>
      </c>
      <c r="B15" s="85" t="inlineStr">
        <is>
          <t>Фильтр года</t>
        </is>
      </c>
      <c r="C15" s="85" t="inlineStr">
        <is>
          <t>🟡 Информация</t>
        </is>
      </c>
      <c r="D15" s="85" t="inlineStr">
        <is>
          <t>Год 2021 (Ульяновск Long Range AWD)</t>
        </is>
      </c>
      <c r="E15" s="85" t="inlineStr">
        <is>
          <t>Оставлено в таблице</t>
        </is>
      </c>
    </row>
    <row r="16" ht="39.75" customHeight="1" s="64">
      <c r="A16" s="85" t="n">
        <v>120</v>
      </c>
      <c r="B16" s="85" t="inlineStr">
        <is>
          <t>Фильтр года</t>
        </is>
      </c>
      <c r="C16" s="85" t="inlineStr">
        <is>
          <t>🟡 Информация</t>
        </is>
      </c>
      <c r="D16" s="85" t="inlineStr">
        <is>
          <t>Год 2020 (Култаево LR Dual)</t>
        </is>
      </c>
      <c r="E16" s="85" t="inlineStr">
        <is>
          <t>Оставлено в таблице — пограничный случай</t>
        </is>
      </c>
    </row>
    <row r="17" ht="39.75" customHeight="1" s="64">
      <c r="A17" s="80" t="n">
        <v>44</v>
      </c>
      <c r="B17" s="80" t="inlineStr">
        <is>
          <t>Модификация исправлена</t>
        </is>
      </c>
      <c r="C17" s="80" t="inlineStr">
        <is>
          <t>🟢 Исправлено</t>
        </is>
      </c>
      <c r="D17" s="80" t="inlineStr">
        <is>
          <t>Было «Long Range AWD», в описании: «настоящий Performance, не шитый Long Range»</t>
        </is>
      </c>
      <c r="E17" s="80" t="inlineStr">
        <is>
          <t>✓ Изменено на «Performance»</t>
        </is>
      </c>
    </row>
    <row r="18" ht="39.75" customHeight="1" s="64">
      <c r="A18" s="80" t="n">
        <v>51</v>
      </c>
      <c r="B18" s="80" t="inlineStr">
        <is>
          <t>Модификация исправлена</t>
        </is>
      </c>
      <c r="C18" s="80" t="inlineStr">
        <is>
          <t>🟢 Исправлено</t>
        </is>
      </c>
      <c r="D18" s="80" t="inlineStr">
        <is>
          <t>Было «Long Range AWD Германия», в описании: «Tesla Y Performance Ultra Red, 534 л.с.»</t>
        </is>
      </c>
      <c r="E18" s="80" t="inlineStr">
        <is>
          <t>✓ Изменено на «Performance Ultra Red»</t>
        </is>
      </c>
    </row>
    <row r="19" ht="39.75" customHeight="1" s="64">
      <c r="A19" s="80" t="n">
        <v>53</v>
      </c>
      <c r="B19" s="80" t="inlineStr">
        <is>
          <t>Модификация исправлена</t>
        </is>
      </c>
      <c r="C19" s="80" t="inlineStr">
        <is>
          <t>🟢 Исправлено</t>
        </is>
      </c>
      <c r="D19" s="80" t="inlineStr">
        <is>
          <t>Было «Long Range AWD», в описании: «Tesla Y Performance 530 л/с»</t>
        </is>
      </c>
      <c r="E19" s="80" t="inlineStr">
        <is>
          <t>✓ Изменено на «Performance»</t>
        </is>
      </c>
    </row>
    <row r="20" ht="39.75" customHeight="1" s="64">
      <c r="A20" s="80" t="n">
        <v>65</v>
      </c>
      <c r="B20" s="80" t="inlineStr">
        <is>
          <t>Модификация исправлена</t>
        </is>
      </c>
      <c r="C20" s="80" t="inlineStr">
        <is>
          <t>🟢 Исправлено</t>
        </is>
      </c>
      <c r="D20" s="80" t="inlineStr">
        <is>
          <t>Было «Long Range AWD», в описании: «Tesla Y Performance. Сборка — Берлин, Германия»</t>
        </is>
      </c>
      <c r="E20" s="80" t="inlineStr">
        <is>
          <t>✓ Изменено на «Performance Berlin»</t>
        </is>
      </c>
    </row>
    <row r="21" ht="39.75" customHeight="1" s="64">
      <c r="A21" s="80" t="n">
        <v>69</v>
      </c>
      <c r="B21" s="80" t="inlineStr">
        <is>
          <t>Модификация исправлена</t>
        </is>
      </c>
      <c r="C21" s="80" t="inlineStr">
        <is>
          <t>🟢 Исправлено</t>
        </is>
      </c>
      <c r="D21" s="80" t="inlineStr">
        <is>
          <t>Было «Long Range AWD», в описании: «Чистый Performance, Michelin Pilot Sport 4»</t>
        </is>
      </c>
      <c r="E21" s="80" t="inlineStr">
        <is>
          <t>✓ Изменено на «Performance»</t>
        </is>
      </c>
    </row>
    <row r="22" ht="39.75" customHeight="1" s="64">
      <c r="A22" s="80" t="n">
        <v>109</v>
      </c>
      <c r="B22" s="80" t="inlineStr">
        <is>
          <t>Модификация исправлена</t>
        </is>
      </c>
      <c r="C22" s="80" t="inlineStr">
        <is>
          <t>🟢 Исправлено</t>
        </is>
      </c>
      <c r="D22" s="80" t="inlineStr">
        <is>
          <t>Было «Long Range I», в описании: «Performance I, 2023, белый, 534 л.с.»</t>
        </is>
      </c>
      <c r="E22" s="80" t="inlineStr">
        <is>
          <t>✓ Изменено на «Performance»</t>
        </is>
      </c>
    </row>
    <row r="23" ht="39.75" customHeight="1" s="64">
      <c r="A23" s="80" t="n">
        <v>114</v>
      </c>
      <c r="B23" s="80" t="inlineStr">
        <is>
          <t>Модификация исправлена</t>
        </is>
      </c>
      <c r="C23" s="80" t="inlineStr">
        <is>
          <t>🟢 Исправлено</t>
        </is>
      </c>
      <c r="D23" s="80" t="inlineStr">
        <is>
          <t>Было «Long Range Dual Motor I», в описании: «Performance I, 2022, серый, 534 л.с.»</t>
        </is>
      </c>
      <c r="E23" s="80" t="inlineStr">
        <is>
          <t>✓ Изменено на «Performance»</t>
        </is>
      </c>
    </row>
    <row r="24" ht="39.75" customHeight="1" s="64">
      <c r="A24" s="80" t="n">
        <v>117</v>
      </c>
      <c r="B24" s="80" t="inlineStr">
        <is>
          <t>Модификация исправлена</t>
        </is>
      </c>
      <c r="C24" s="80" t="inlineStr">
        <is>
          <t>🟢 Исправлено</t>
        </is>
      </c>
      <c r="D24" s="80" t="inlineStr">
        <is>
          <t>Было «Long Range Dual Motor I», в описании: «Performance I, 2023, белый, 534 л.с.»</t>
        </is>
      </c>
      <c r="E24" s="80" t="inlineStr">
        <is>
          <t>✓ Изменено на «Performance»</t>
        </is>
      </c>
    </row>
    <row r="25" ht="39.75" customHeight="1" s="64">
      <c r="A25" s="85" t="n">
        <v>71</v>
      </c>
      <c r="B25" s="85" t="inlineStr">
        <is>
          <t>Цена ниже медианы</t>
        </is>
      </c>
      <c r="C25" s="85" t="inlineStr">
        <is>
          <t>🟡 Информация</t>
        </is>
      </c>
      <c r="D25" s="85" t="inlineStr">
        <is>
          <t>Цена 2 490 000 ₽ — 47% от медианы 5 350 000 ₽ для 2023 Performance</t>
        </is>
      </c>
      <c r="E25" s="85" t="inlineStr">
        <is>
          <t>Объяснение: армянский учёт, не растаможена в РФ. См. особые отметки</t>
        </is>
      </c>
    </row>
    <row r="26" ht="39.75" customHeight="1" s="64">
      <c r="A26" s="85" t="n">
        <v>76</v>
      </c>
      <c r="B26" s="85" t="inlineStr">
        <is>
          <t>Цена ниже медианы</t>
        </is>
      </c>
      <c r="C26" s="85" t="inlineStr">
        <is>
          <t>🟡 Информация</t>
        </is>
      </c>
      <c r="D26" s="85" t="inlineStr">
        <is>
          <t>Цена 2 920 000 ₽ — 55% от медианы 5 350 000 ₽ для 2023 Performance</t>
        </is>
      </c>
      <c r="E26" s="85" t="inlineStr">
        <is>
          <t>Объяснение: Минск, не растаможена в РФ</t>
        </is>
      </c>
    </row>
    <row r="27" ht="39.75" customHeight="1" s="64">
      <c r="A27" s="85" t="n">
        <v>85</v>
      </c>
      <c r="B27" s="85" t="inlineStr">
        <is>
          <t>Цена ниже медианы</t>
        </is>
      </c>
      <c r="C27" s="85" t="inlineStr">
        <is>
          <t>🟡 Информация</t>
        </is>
      </c>
      <c r="D27" s="85" t="inlineStr">
        <is>
          <t>Цена 2 767 086 ₽ — 52% от медианы 5 350 000 ₽ для 2023 Performance</t>
        </is>
      </c>
      <c r="E27" s="85" t="inlineStr">
        <is>
          <t>Объяснение: Минск, белорусский учёт</t>
        </is>
      </c>
    </row>
    <row r="28" ht="39.75" customHeight="1" s="64">
      <c r="A28" s="85" t="n">
        <v>103</v>
      </c>
      <c r="B28" s="85" t="inlineStr">
        <is>
          <t>Цена ниже медианы</t>
        </is>
      </c>
      <c r="C28" s="85" t="inlineStr">
        <is>
          <t>🟡 Информация</t>
        </is>
      </c>
      <c r="D28" s="85" t="inlineStr">
        <is>
          <t>Цена 2 764 000 ₽ — 50% от медианы 5 500 000 ₽ для 2024 Long Range</t>
        </is>
      </c>
      <c r="E28" s="85" t="inlineStr">
        <is>
          <t>Объяснение: Молодечно (Беларусь), без растаможки в РФ</t>
        </is>
      </c>
    </row>
    <row r="29"/>
    <row r="30"/>
    <row r="31" ht="15" customHeight="1" s="64">
      <c r="A31" s="122" t="inlineStr">
        <is>
          <t>ИТОГО:</t>
        </is>
      </c>
      <c r="B31" s="113" t="inlineStr">
        <is>
          <t>Всего проверено: 122 объявления</t>
        </is>
      </c>
    </row>
    <row r="32" ht="15" customHeight="1" s="64">
      <c r="B32" s="113" t="inlineStr">
        <is>
          <t>🔴 Критичных проблем: 2 (VIN-несоответствия)</t>
        </is>
      </c>
    </row>
    <row r="33" ht="15" customHeight="1" s="64">
      <c r="B33" s="113" t="inlineStr">
        <is>
          <t>🟢 Исправлено: 8 (неверные модификации)</t>
        </is>
      </c>
    </row>
    <row r="34" ht="15" customHeight="1" s="64">
      <c r="B34" s="113" t="inlineStr">
        <is>
          <t>🟡 Информация: 13 (вне фильтра года: 9, низкая цена: 4)</t>
        </is>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2026-05-20T09:04:55Z</dcterms:created>
  <dcterms:modified xsi:type="dcterms:W3CDTF">2026-05-26T14:04:26Z</dcterms:modified>
  <cp:revision>0</cp:revision>
</cp:coreProperties>
</file>