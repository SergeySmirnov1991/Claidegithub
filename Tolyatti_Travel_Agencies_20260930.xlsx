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урагентства" sheetId="1" state="visible" r:id="rId3"/>
    <sheet name="Сводка" sheetId="2" state="visible" r:id="rId4"/>
    <sheet name="Нужно проверить" sheetId="3" state="visible" r:id="rId5"/>
    <sheet name="Как собрано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<sst xmlns="http://schemas.openxmlformats.org/spreadsheetml/2006/main" count="670" uniqueCount="453">
  <si>
    <t xml:space="preserve">Турагентства Тольятти</t>
  </si>
  <si>
    <t xml:space="preserve">Собрано 30.09.2026 из открытых справочников (2ГИС, Яндекс Карты, Zoon, Yell, Фламп и др.) и сайтов компаний. Телефоны перед звонком лучше перепроверить — подробности на листе «Как собрано».</t>
  </si>
  <si>
    <t xml:space="preserve">№</t>
  </si>
  <si>
    <t xml:space="preserve">Название</t>
  </si>
  <si>
    <t xml:space="preserve">Тип</t>
  </si>
  <si>
    <t xml:space="preserve">Район</t>
  </si>
  <si>
    <t xml:space="preserve">Адрес</t>
  </si>
  <si>
    <t xml:space="preserve">Телефон</t>
  </si>
  <si>
    <t xml:space="preserve">Сайт / соцсети</t>
  </si>
  <si>
    <t xml:space="preserve">Часы работы</t>
  </si>
  <si>
    <t xml:space="preserve">Рейтинг (площадка)</t>
  </si>
  <si>
    <t xml:space="preserve">Туры за рубеж</t>
  </si>
  <si>
    <t xml:space="preserve">Специализация / примечание</t>
  </si>
  <si>
    <t xml:space="preserve">Источник</t>
  </si>
  <si>
    <t xml:space="preserve">1001 Тур</t>
  </si>
  <si>
    <t xml:space="preserve">Офис сети / франшиза</t>
  </si>
  <si>
    <t xml:space="preserve">Автозаводский</t>
  </si>
  <si>
    <t xml:space="preserve">ул. Юбилейная, 2Г, офис 326, ТЦ «Юбилейный»</t>
  </si>
  <si>
    <t xml:space="preserve">+7 (8482) 35-09-70</t>
  </si>
  <si>
    <t xml:space="preserve">1001tur.ru; toliatti@1001tur.ru</t>
  </si>
  <si>
    <t xml:space="preserve">да</t>
  </si>
  <si>
    <t xml:space="preserve">Офис федеральной сети турагентств</t>
  </si>
  <si>
    <t xml:space="preserve">Zoon, 1001tur.ru</t>
  </si>
  <si>
    <t xml:space="preserve">ANEX Tour</t>
  </si>
  <si>
    <t xml:space="preserve">Не указан</t>
  </si>
  <si>
    <t xml:space="preserve">ул. Борковская, 81А, гипермаркет «О'КЕЙ», 1 эт.</t>
  </si>
  <si>
    <t xml:space="preserve">+7 (8482) 55-58-21</t>
  </si>
  <si>
    <t xml:space="preserve">anextour.ru</t>
  </si>
  <si>
    <t xml:space="preserve">ежедневно 10–22 (по предварительному звонку)</t>
  </si>
  <si>
    <t xml:space="preserve">На citiko по этому адресу значится «РоссТур Тольятти»</t>
  </si>
  <si>
    <t xml:space="preserve">2ГИС, jsprav</t>
  </si>
  <si>
    <t xml:space="preserve">ул. Революционная, 52А, ТЦ «Русь на Волге», цокольный эт.</t>
  </si>
  <si>
    <t xml:space="preserve">+7 (987) 453-70-00</t>
  </si>
  <si>
    <t xml:space="preserve">anextourtlt.orgs.biz</t>
  </si>
  <si>
    <t xml:space="preserve">orgs.biz</t>
  </si>
  <si>
    <t xml:space="preserve">Coral Travel</t>
  </si>
  <si>
    <t xml:space="preserve">ул. 40 лет Победы, 33, ТЦ «Ёлка», 1 эт.</t>
  </si>
  <si>
    <t xml:space="preserve">coral.ru</t>
  </si>
  <si>
    <t xml:space="preserve">ежедневно 10–21</t>
  </si>
  <si>
    <t xml:space="preserve">Телефон в источнике обрезан (+7 927 619-…)</t>
  </si>
  <si>
    <t xml:space="preserve">2ГИС</t>
  </si>
  <si>
    <t xml:space="preserve">ул. Дзержинского, 21, ТЦ «Капитал», офис 410, 4 эт.</t>
  </si>
  <si>
    <t xml:space="preserve">+7 (8482) 79-86-68; +7 (926) 050-39-86; +7 (927) 268-44-78</t>
  </si>
  <si>
    <t xml:space="preserve">coral.ru; galeon-tour@yandex.ru</t>
  </si>
  <si>
    <t xml:space="preserve">пн–пт 10–20, сб 11–17</t>
  </si>
  <si>
    <t xml:space="preserve">Zoon 3,7</t>
  </si>
  <si>
    <t xml:space="preserve">Юрлицо по Cataloxy — ООО «Гарант»; доступен для маломобильных посетителей</t>
  </si>
  <si>
    <t xml:space="preserve">2ГИС, Zoon, Яндекс Карты</t>
  </si>
  <si>
    <t xml:space="preserve">Центральный</t>
  </si>
  <si>
    <t xml:space="preserve">ул. Ушакова, 45 (напротив театра «Колесо»)</t>
  </si>
  <si>
    <t xml:space="preserve">+7 (8482) 70-13-00; +7 (8482) 61-62-46; +7 (967) 485-83-58</t>
  </si>
  <si>
    <t xml:space="preserve">crl-tour.ru</t>
  </si>
  <si>
    <t xml:space="preserve">пн–пт 10–19, сб 11–15, вс по записи</t>
  </si>
  <si>
    <t xml:space="preserve">Кроме Coral работают с Anex, TEZ Tour, Sunmar и др.: туры за рубеж и по России, автобусные туры, круизы, визы</t>
  </si>
  <si>
    <t xml:space="preserve">Yell, crl-tour.ru</t>
  </si>
  <si>
    <t xml:space="preserve">Coral Travel / FUN&amp;SUN</t>
  </si>
  <si>
    <t xml:space="preserve">ул. Ленина, 125</t>
  </si>
  <si>
    <t xml:space="preserve">+7 (8482) 22-97-37</t>
  </si>
  <si>
    <t xml:space="preserve">пн–пт 10–19, сб 10–17</t>
  </si>
  <si>
    <t xml:space="preserve">Zoon ≈3</t>
  </si>
  <si>
    <t xml:space="preserve">Справочники расходятся: Zoon — Coral Travel, farverig — FUN&amp;SUN; вероятно, сменил бренд</t>
  </si>
  <si>
    <t xml:space="preserve">Zoon, naitiko, farverig</t>
  </si>
  <si>
    <t xml:space="preserve">FUN&amp;SUN</t>
  </si>
  <si>
    <t xml:space="preserve">ул. 70 лет Октября, 31А, офис 104, 1 эт.</t>
  </si>
  <si>
    <t xml:space="preserve">+7 (8482) 58-07-49</t>
  </si>
  <si>
    <t xml:space="preserve">fstravel.com</t>
  </si>
  <si>
    <t xml:space="preserve">пн–пт 10–19, сб 10–15</t>
  </si>
  <si>
    <t xml:space="preserve">Подтверждён только одним справочником</t>
  </si>
  <si>
    <t xml:space="preserve">rting.ru</t>
  </si>
  <si>
    <t xml:space="preserve">ул. Фрунзе, 10Б, 1 эт.</t>
  </si>
  <si>
    <t xml:space="preserve">+7 (8482) 99-98-05; +7 (8482) 99-98-06; +7 (8482) 77-77-61; +7 (8482) 77-11-57; 8-800-775-77-58</t>
  </si>
  <si>
    <t xml:space="preserve">пн–пт 9–18</t>
  </si>
  <si>
    <t xml:space="preserve">Юрлицо по jsprav — ООО «Тур Дизайн»</t>
  </si>
  <si>
    <t xml:space="preserve">2ГИС, jsprav, spravker</t>
  </si>
  <si>
    <t xml:space="preserve">ул. Юбилейная, 40, ТЦ «Вега»</t>
  </si>
  <si>
    <t xml:space="preserve">+7 (960) 843-80-50; +7 (960) 848-84-27</t>
  </si>
  <si>
    <t xml:space="preserve">ежедневно 10–19</t>
  </si>
  <si>
    <t xml:space="preserve">xtool: 111 оценок</t>
  </si>
  <si>
    <t xml:space="preserve">Бывший TUI в России</t>
  </si>
  <si>
    <t xml:space="preserve">2ГИС, xtool</t>
  </si>
  <si>
    <t xml:space="preserve">Onlinetours</t>
  </si>
  <si>
    <t xml:space="preserve">ул. Гагарина, 6</t>
  </si>
  <si>
    <t xml:space="preserve">+7 (8482) 65-13-53; 8-800-333-27-68</t>
  </si>
  <si>
    <t xml:space="preserve">tolyatti.onlinetours.ru</t>
  </si>
  <si>
    <t xml:space="preserve">2ГИС 5,0 (2 отзыва)</t>
  </si>
  <si>
    <t xml:space="preserve">Офис федеральной онлайн-сети; переехал с ул. Ленина, 118</t>
  </si>
  <si>
    <t xml:space="preserve">PEGAS Touristik</t>
  </si>
  <si>
    <t xml:space="preserve">ул. Карла Маркса, 45</t>
  </si>
  <si>
    <t xml:space="preserve">+7 (909) 364-60-09; +7 (8482) 71-51-79</t>
  </si>
  <si>
    <t xml:space="preserve">pegast.ru</t>
  </si>
  <si>
    <t xml:space="preserve">ежедневно 9:30–20:00</t>
  </si>
  <si>
    <t xml:space="preserve">Офис продаж Pegas Touristik; на Viasun значится как агентство «Самолёт»</t>
  </si>
  <si>
    <t xml:space="preserve">Яндекс Карты, jsprav</t>
  </si>
  <si>
    <t xml:space="preserve">ул. Победы, 29А, ТЦ «Алтын»</t>
  </si>
  <si>
    <t xml:space="preserve">+7 (927) 211-33-45</t>
  </si>
  <si>
    <t xml:space="preserve">Яндекс 5,0 (60 оценок)</t>
  </si>
  <si>
    <t xml:space="preserve">Яндекс Карты</t>
  </si>
  <si>
    <t xml:space="preserve">PEGAS Touristik (фирменный офис)</t>
  </si>
  <si>
    <t xml:space="preserve">б-р Гая, 19, ТД «Метелица», офис 8, 1 эт.</t>
  </si>
  <si>
    <t xml:space="preserve">+7 (927) 268-17-87; +7 (8482) 50-83-83; +7 (8482) 50-83-84; 8-800-700-87-47</t>
  </si>
  <si>
    <t xml:space="preserve">пн–пт 11–18, по записи</t>
  </si>
  <si>
    <t xml:space="preserve">2ГИС, Яндекс Карты, orgpage</t>
  </si>
  <si>
    <t xml:space="preserve">PEGAS Touristik / ТС Тур</t>
  </si>
  <si>
    <t xml:space="preserve">ул. Юбилейная, 8, ДКиТ, 2 эт., офис 214–215</t>
  </si>
  <si>
    <t xml:space="preserve">+7 (8482) 35-84-08; +7 (8482) 35-84-90; +7 (8482) 35-15-88; +7 (8482) 20-11-36; 8-800-700-87-47</t>
  </si>
  <si>
    <t xml:space="preserve">pegast.ru; office@tstour.ru</t>
  </si>
  <si>
    <t xml:space="preserve">пн–пт 10–19, сб 11–16, вс 11–15</t>
  </si>
  <si>
    <t xml:space="preserve">Фирменный офис Pegas; по тому же адресу — агентство «ТС Тур» (ООО «ТС-Тур», ИНН 6321131359), круизы</t>
  </si>
  <si>
    <t xml:space="preserve">Яндекс Карты, orgsinfo, spravka.city, yp.ru</t>
  </si>
  <si>
    <t xml:space="preserve">TEZ TOUR (уполномоченное агентство)</t>
  </si>
  <si>
    <t xml:space="preserve">ул. Дзержинского, 5а, офис 10</t>
  </si>
  <si>
    <t xml:space="preserve">+7 (8482) 57-05-70</t>
  </si>
  <si>
    <t xml:space="preserve">tolyatti.tez-tour.com</t>
  </si>
  <si>
    <t xml:space="preserve">ООО «Вест-С»; подтверждено только сайтом TEZ TOUR</t>
  </si>
  <si>
    <t xml:space="preserve">tez-tour.com</t>
  </si>
  <si>
    <t xml:space="preserve">ИнТур (агентство ANEX Tour)</t>
  </si>
  <si>
    <t xml:space="preserve">ул. 40 лет Победы, 5, офис 301 (вход со стороны «Царского села»)</t>
  </si>
  <si>
    <t xml:space="preserve">+7 (902) 376-01-85; +7 (8482) 46-01-85</t>
  </si>
  <si>
    <t xml:space="preserve">intour.su</t>
  </si>
  <si>
    <t xml:space="preserve">пн–пт 9–18, сб–вс 11–15 по записи</t>
  </si>
  <si>
    <t xml:space="preserve">Zoon 2,5 (как Anextour)</t>
  </si>
  <si>
    <t xml:space="preserve">Горящие туры, корпоративные клиенты; e-mail anextourtlt@gmail.com. В одном справочнике — адрес ул. Гагарина, 6</t>
  </si>
  <si>
    <t xml:space="preserve">intour.su, Zoon, viasun</t>
  </si>
  <si>
    <t xml:space="preserve">Магазин горящих путёвок (МГП)</t>
  </si>
  <si>
    <t xml:space="preserve">ул. Юбилейная, 2Г, ТЦ «Юбилейный», 3 эт., офис 307Б</t>
  </si>
  <si>
    <t xml:space="preserve">mgp.ru/offices/1788</t>
  </si>
  <si>
    <t xml:space="preserve">Офис федеральной сети; телефон — на странице офиса на mgp.ru</t>
  </si>
  <si>
    <t xml:space="preserve">mgp.ru, vibirai</t>
  </si>
  <si>
    <t xml:space="preserve">Меридиан (агентство ANEX Tour)</t>
  </si>
  <si>
    <t xml:space="preserve">ул. Юбилейная, 5А</t>
  </si>
  <si>
    <t xml:space="preserve">+7 (8482) 50-76-53; +7 (8482) 61-82-10; +7 (927) 891-86-46</t>
  </si>
  <si>
    <t xml:space="preserve">tameridian.orgs.biz</t>
  </si>
  <si>
    <t xml:space="preserve">пн–пт 10–19</t>
  </si>
  <si>
    <t xml:space="preserve">По Zoon «Меридиан» также значится на ул. Тополиной, 25а</t>
  </si>
  <si>
    <t xml:space="preserve">big-book-relax, orgs.biz</t>
  </si>
  <si>
    <t xml:space="preserve">Музенидис Трэвел Тольятти</t>
  </si>
  <si>
    <t xml:space="preserve">ул. Юбилейная, 40, офис 202, 2 эт.</t>
  </si>
  <si>
    <t xml:space="preserve">+7 (8482) 73-52-00; +7 (8482) 73-51-00</t>
  </si>
  <si>
    <t xml:space="preserve">mouzenidis-travel.ru</t>
  </si>
  <si>
    <t xml:space="preserve">Yell 5,0 (5 отзывов)</t>
  </si>
  <si>
    <t xml:space="preserve">Офис туроператора Mouzenidis Travel</t>
  </si>
  <si>
    <t xml:space="preserve">Yell, сайт туроператора</t>
  </si>
  <si>
    <t xml:space="preserve">Нико Турс Тольятти</t>
  </si>
  <si>
    <t xml:space="preserve">б-р Ленина, 7, 1 эт.</t>
  </si>
  <si>
    <t xml:space="preserve">+7 (8482) 38-78-50; 8-800-302-37-40</t>
  </si>
  <si>
    <t xml:space="preserve">nikoturs.ru</t>
  </si>
  <si>
    <t xml:space="preserve">пн–пт 9–18, сб 10–15</t>
  </si>
  <si>
    <t xml:space="preserve">Телефоны сети</t>
  </si>
  <si>
    <t xml:space="preserve">asktel, spravka.city</t>
  </si>
  <si>
    <t xml:space="preserve">ул. Баныкина, 16Б, 1 эт.</t>
  </si>
  <si>
    <t xml:space="preserve">Фламп, jsprav</t>
  </si>
  <si>
    <t xml:space="preserve">ул. Юбилейная, 31и, 1 эт.</t>
  </si>
  <si>
    <t xml:space="preserve">+7 (8482) 38-78-50; +7 (8482) 51-09-00; 8-800-302-37-40</t>
  </si>
  <si>
    <t xml:space="preserve">Yell: 7 отзывов</t>
  </si>
  <si>
    <t xml:space="preserve">Сеть онлайн-турагентств; ООО «НИКО Турс Тольятти», ИНН 6382009155. Телефоны общие для всех офисов</t>
  </si>
  <si>
    <t xml:space="preserve">Yell, 2ГИС, spravka.city</t>
  </si>
  <si>
    <t xml:space="preserve">Самараинтур</t>
  </si>
  <si>
    <t xml:space="preserve">ул. Фрунзе, 10Д</t>
  </si>
  <si>
    <t xml:space="preserve">+7 (8482) 65-02-34; +7 (906) 129-02-02</t>
  </si>
  <si>
    <t xml:space="preserve">samaraintour.ru</t>
  </si>
  <si>
    <t xml:space="preserve">Тольяттинский офис самарской сети: горящие туры, автобусные туры, речные круизы</t>
  </si>
  <si>
    <t xml:space="preserve">2ГИС, Яндекс Карты, samaraintour.ru</t>
  </si>
  <si>
    <t xml:space="preserve">7я тур</t>
  </si>
  <si>
    <t xml:space="preserve">Турагентство</t>
  </si>
  <si>
    <t xml:space="preserve">ул. Мира, 62</t>
  </si>
  <si>
    <t xml:space="preserve">+7 (964) 975-28-99</t>
  </si>
  <si>
    <t xml:space="preserve">7yatour.ru</t>
  </si>
  <si>
    <t xml:space="preserve">пн–вс 10–19, по записи</t>
  </si>
  <si>
    <t xml:space="preserve">3,6 (2ГИС/Zoon)</t>
  </si>
  <si>
    <t xml:space="preserve">Туры, визы, авиа- и ж/д билеты. В одном источнике адрес — ул. Комсомольская, 101</t>
  </si>
  <si>
    <t xml:space="preserve">2ГИС, Zoon</t>
  </si>
  <si>
    <t xml:space="preserve">CHAMPION (Чемпион)</t>
  </si>
  <si>
    <t xml:space="preserve">Московский пр-т, 39</t>
  </si>
  <si>
    <t xml:space="preserve">+7 (8482) 700-100; +7 (8482) 37-67-09</t>
  </si>
  <si>
    <t xml:space="preserve">champion-tlt.ru</t>
  </si>
  <si>
    <t xml:space="preserve">Горящие туры из Тольятти и Самары</t>
  </si>
  <si>
    <t xml:space="preserve">Mary Travels</t>
  </si>
  <si>
    <t xml:space="preserve">Ленинский пр-т, 14а, ТД «Ленинский»</t>
  </si>
  <si>
    <t xml:space="preserve">+7 (8482) 41-11-90</t>
  </si>
  <si>
    <t xml:space="preserve">не ясно</t>
  </si>
  <si>
    <t xml:space="preserve">В одном справочнике тот же телефон указан у «ТС Тур»</t>
  </si>
  <si>
    <t xml:space="preserve">orgpage</t>
  </si>
  <si>
    <t xml:space="preserve">PRO_TOUR</t>
  </si>
  <si>
    <t xml:space="preserve">ул. 40 лет Победы, 14</t>
  </si>
  <si>
    <t xml:space="preserve">+7 (927) 899-67-61</t>
  </si>
  <si>
    <t xml:space="preserve">protour.online</t>
  </si>
  <si>
    <t xml:space="preserve">Есть VK, Telegram, WhatsApp</t>
  </si>
  <si>
    <t xml:space="preserve">spravker</t>
  </si>
  <si>
    <t xml:space="preserve">TLT group</t>
  </si>
  <si>
    <t xml:space="preserve">ул. Советская, 59, 1 эт.</t>
  </si>
  <si>
    <t xml:space="preserve">avia--tltgroup.orgs.biz; страница ВКонтакте</t>
  </si>
  <si>
    <t xml:space="preserve">10–19</t>
  </si>
  <si>
    <t xml:space="preserve">Туры, визы, загранпаспорта, авиа- и ж/д билеты, работа и учёба за рубежом; телефон не найден</t>
  </si>
  <si>
    <t xml:space="preserve">2ГИС, vibirai</t>
  </si>
  <si>
    <t xml:space="preserve">TourSale</t>
  </si>
  <si>
    <t xml:space="preserve">ул. Автостроителей, 68а, офис 208, ТОЦ «Николаевский»</t>
  </si>
  <si>
    <t xml:space="preserve">+7 (8482) 31-03-07; +7 (987) 931-03-07</t>
  </si>
  <si>
    <t xml:space="preserve">toursale.su</t>
  </si>
  <si>
    <t xml:space="preserve">Zoon 3,3</t>
  </si>
  <si>
    <t xml:space="preserve">Zoon, asktel</t>
  </si>
  <si>
    <t xml:space="preserve">Алые паруса</t>
  </si>
  <si>
    <t xml:space="preserve">ул. Льва Яшина, 6, офис 23, 3 эт.</t>
  </si>
  <si>
    <t xml:space="preserve">+7 (917) 126-16-00</t>
  </si>
  <si>
    <t xml:space="preserve">Yell: 6 отзывов</t>
  </si>
  <si>
    <t xml:space="preserve">Туры за рубеж, загранпаспорта, автобусные и оздоровительные туры, круизы, обучение за рубежом</t>
  </si>
  <si>
    <t xml:space="preserve">Yell, Яндекс Карты</t>
  </si>
  <si>
    <t xml:space="preserve">Ас-Тур</t>
  </si>
  <si>
    <t xml:space="preserve">ул. Юбилейная, 29, офис 202, 2 эт.</t>
  </si>
  <si>
    <t xml:space="preserve">+7 (8482) 70-45-55</t>
  </si>
  <si>
    <t xml:space="preserve">Путешествия, активный туризм</t>
  </si>
  <si>
    <t xml:space="preserve">Yell</t>
  </si>
  <si>
    <t xml:space="preserve">Виктория-тур</t>
  </si>
  <si>
    <t xml:space="preserve">ул. Ленинградская, 43</t>
  </si>
  <si>
    <t xml:space="preserve">victoriatour63.ru</t>
  </si>
  <si>
    <t xml:space="preserve">4,0</t>
  </si>
  <si>
    <t xml:space="preserve">Уполномоченное агентство ANEX Tour и Mouzenidis Travel; телефон не найден — смотрите на сайте</t>
  </si>
  <si>
    <t xml:space="preserve">ВыбиРай</t>
  </si>
  <si>
    <t xml:space="preserve">ул. Фрунзе, 10Б, офис 17, 1 эт. (вход с Нового проезда)</t>
  </si>
  <si>
    <t xml:space="preserve">+7 (8482) 35-30-35; +7 (8482) 31-00-76</t>
  </si>
  <si>
    <t xml:space="preserve">vibirai-tlt.ru; vk.com/vibirai_tur</t>
  </si>
  <si>
    <t xml:space="preserve">пн–пт 10–19, сб 10–14</t>
  </si>
  <si>
    <t xml:space="preserve">Турагентство и оформление загранпаспортов</t>
  </si>
  <si>
    <t xml:space="preserve">2ГИС, rubrikator</t>
  </si>
  <si>
    <t xml:space="preserve">ДельтаПлан</t>
  </si>
  <si>
    <t xml:space="preserve">ул. 40 лет Победы, 5, офис 301; также б-р Татищева, 6а</t>
  </si>
  <si>
    <t xml:space="preserve">+7 (8482) 55-13-39</t>
  </si>
  <si>
    <t xml:space="preserve">ООО «Дельтаплан», ИНН 6324096511; партнёр «Дельфина» (санатории, отели). Адрес совпадает с ИнТур</t>
  </si>
  <si>
    <t xml:space="preserve">delfin-tour.ru, rusprofile</t>
  </si>
  <si>
    <t xml:space="preserve">Добрый День (бывш. «Найс Тревел Тольятти»)</t>
  </si>
  <si>
    <t xml:space="preserve">Комсомольский</t>
  </si>
  <si>
    <t xml:space="preserve">ул. Мурысева, 70, офис 2, 2 эт.</t>
  </si>
  <si>
    <t xml:space="preserve">+7 (8482) 61-36-29; +7 (937) 662-77-37</t>
  </si>
  <si>
    <t xml:space="preserve">turdd.ru</t>
  </si>
  <si>
    <t xml:space="preserve">4,7 (20 оценок, Яндекс/2ГИС); TURIZM.RU 10/10 (отзывы 2015 г.)</t>
  </si>
  <si>
    <t xml:space="preserve">в основном Россия</t>
  </si>
  <si>
    <t xml:space="preserve">Автобусные, ж/д и авиатуры по России, речные круизы; офис продаж туроператора «Регион»</t>
  </si>
  <si>
    <t xml:space="preserve">2ГИС, Яндекс Карты, turdd.ru</t>
  </si>
  <si>
    <t xml:space="preserve">Загранпаспорт-Тольятти</t>
  </si>
  <si>
    <t xml:space="preserve">ул. Мурысева, 70, 2 эт.</t>
  </si>
  <si>
    <t xml:space="preserve">+7 (8482) 61-36-29</t>
  </si>
  <si>
    <t xml:space="preserve">Yell — в тройке лучших по оценкам</t>
  </si>
  <si>
    <t xml:space="preserve">Загранпаспорта, страховки, путёвки, горящие туры. Адрес и телефон совпадают с «Добрый День»</t>
  </si>
  <si>
    <t xml:space="preserve">Малибу</t>
  </si>
  <si>
    <t xml:space="preserve">ул. Льва Яшина, 6, офис 302</t>
  </si>
  <si>
    <t xml:space="preserve">пн–сб 9–19</t>
  </si>
  <si>
    <t xml:space="preserve">4,7 (вероятно 2ГИС); TURIZM.RU 10/10</t>
  </si>
  <si>
    <t xml:space="preserve">Пляжные туры: Турция, Египет, ОАЭ, Мальдивы; телефон в выдаче не попал — смотрите карточку 2ГИС</t>
  </si>
  <si>
    <t xml:space="preserve">2ГИС, TURIZM.RU</t>
  </si>
  <si>
    <t xml:space="preserve">Турскидки.ru</t>
  </si>
  <si>
    <t xml:space="preserve">ул. Дзержинского, 27а, офис 7, 2 эт.</t>
  </si>
  <si>
    <t xml:space="preserve">+7 (8482) 36-62-59; +7 (8482) 95-72-72</t>
  </si>
  <si>
    <t xml:space="preserve">Дисконтное агентство: туры ведущих туроператоров со скидкой 10–20% по карте</t>
  </si>
  <si>
    <t xml:space="preserve">Yell, vibirai</t>
  </si>
  <si>
    <t xml:space="preserve">Фараон-Тур</t>
  </si>
  <si>
    <t xml:space="preserve">ул. Автостроителей, 11а, 1 эт., офис 1</t>
  </si>
  <si>
    <t xml:space="preserve">+7 (8482) 61-13-11</t>
  </si>
  <si>
    <t xml:space="preserve">пн–вс 11–19 (сб–вс по записи)</t>
  </si>
  <si>
    <t xml:space="preserve">Zoon 4,6; Yell — в тройке лучших по оценкам</t>
  </si>
  <si>
    <t xml:space="preserve">Туры, авиа- и ж/д билеты, речные круизы</t>
  </si>
  <si>
    <t xml:space="preserve">Zoon, Yell</t>
  </si>
  <si>
    <t xml:space="preserve">Вектор-Тур</t>
  </si>
  <si>
    <t xml:space="preserve">Туроператор (свои туры)</t>
  </si>
  <si>
    <t xml:space="preserve">ул. Платановая, 5, офис 14, 3 эт.</t>
  </si>
  <si>
    <t xml:space="preserve">+7 (8482) 62-46-80; 8-800-511-25-55; +7 (927) 892-46-80</t>
  </si>
  <si>
    <t xml:space="preserve">tolyatti.vektor-tour.ru</t>
  </si>
  <si>
    <t xml:space="preserve">пн–пт 9–18 (Zoon: круглосуточно)</t>
  </si>
  <si>
    <t xml:space="preserve">xtool: 62 оценки</t>
  </si>
  <si>
    <t xml:space="preserve">Свои автобусные туры по 70+ регионам России и ближнему зарубежью, школьные экскурсии; продаёт и пакетные туры</t>
  </si>
  <si>
    <t xml:space="preserve">Яндекс Карты, Zoon, Yell, сайт</t>
  </si>
  <si>
    <t xml:space="preserve">Голден Тур</t>
  </si>
  <si>
    <t xml:space="preserve">ул. Фрунзе, 14Б, ТЦ «Квадрат», офис 115, 1 эт.</t>
  </si>
  <si>
    <t xml:space="preserve">+7 (927) 892-56-86; +7 (919) 810-55-45</t>
  </si>
  <si>
    <t xml:space="preserve">goldentour-tlt.ru</t>
  </si>
  <si>
    <t xml:space="preserve">пн–вс 9–19, по записи</t>
  </si>
  <si>
    <t xml:space="preserve">Zoon 3,9</t>
  </si>
  <si>
    <t xml:space="preserve">ООО «Голден Тур», ИНН 6324068017. Школьные и экскурсионные автобусные туры, паломнические, оздоровительные</t>
  </si>
  <si>
    <t xml:space="preserve">2ГИС, Яндекс Карты, Zoon</t>
  </si>
  <si>
    <t xml:space="preserve">Золотой Дракон</t>
  </si>
  <si>
    <t xml:space="preserve">ул. Мира, 86</t>
  </si>
  <si>
    <t xml:space="preserve">+7 (8482) 61-36-30; +7 (927) 891-36-30; +7 (967) 488-88-15</t>
  </si>
  <si>
    <t xml:space="preserve">золотой-юг.рф; vk.link/zolotoi_drakon_samara_tolyatti</t>
  </si>
  <si>
    <t xml:space="preserve">пн–пт 10–17, сб 10–14</t>
  </si>
  <si>
    <t xml:space="preserve">Свои автобусные туры на Чёрное море; горящие туры, круизы, визы</t>
  </si>
  <si>
    <t xml:space="preserve">2ГИС, spravker</t>
  </si>
  <si>
    <t xml:space="preserve">Капитан-Тур</t>
  </si>
  <si>
    <t xml:space="preserve">ул. Мурысева, 70</t>
  </si>
  <si>
    <t xml:space="preserve">+7 (919) 812-06-60</t>
  </si>
  <si>
    <t xml:space="preserve">capttour.ru; ship.capttour.ru</t>
  </si>
  <si>
    <t xml:space="preserve">пн–пт 11–18 (сен–апр)</t>
  </si>
  <si>
    <t xml:space="preserve">Автобусные туры, речные круизы из Самары и Тольятти, авиатуры из Курумоча</t>
  </si>
  <si>
    <t xml:space="preserve">capttour.ru, Яндекс Карты, Zoon</t>
  </si>
  <si>
    <t xml:space="preserve">Посети Тур</t>
  </si>
  <si>
    <t xml:space="preserve">ул. Юбилейная, 61а, офис 302</t>
  </si>
  <si>
    <t xml:space="preserve">+7 (8482) 62-04-07; +7 (917) 130-15-52</t>
  </si>
  <si>
    <t xml:space="preserve">poseti-tur.ru</t>
  </si>
  <si>
    <t xml:space="preserve">пн–пт 10–18, сб 11–15</t>
  </si>
  <si>
    <t xml:space="preserve">4,7 (27 отзывов); Zoon — в числе лучших туроператоров</t>
  </si>
  <si>
    <t xml:space="preserve">Туры выходного дня из Самары и Тольятти, экскурсии, круизы, санатории; офис также в Самаре</t>
  </si>
  <si>
    <t xml:space="preserve">poseti-tur.ru, Фламп, Zoon</t>
  </si>
  <si>
    <t xml:space="preserve">Росс-тур</t>
  </si>
  <si>
    <t xml:space="preserve">ул. Победы, 29, ТЦ «Алтын»</t>
  </si>
  <si>
    <t xml:space="preserve">+7 (8482) 62-32-20</t>
  </si>
  <si>
    <t xml:space="preserve">Офис продаж автобусных туров туроператора «Регион»</t>
  </si>
  <si>
    <t xml:space="preserve">tur-region.ru</t>
  </si>
  <si>
    <t xml:space="preserve">ул. Фрунзе, 14Б, офис 101</t>
  </si>
  <si>
    <t xml:space="preserve">+7 (8482) 53-02-30; +7 (927) 026-81-29</t>
  </si>
  <si>
    <t xml:space="preserve">Румб (агентство путешествий)</t>
  </si>
  <si>
    <t xml:space="preserve">ул. 40 лет Победы, 26, ОЦ «Велит», офис 303/305, 3 эт.</t>
  </si>
  <si>
    <t xml:space="preserve">+7 (8482) 68-50-41; +7 (8482) 68-50-51; +7 (927) 788-26-88</t>
  </si>
  <si>
    <t xml:space="preserve">rumbtour.ru</t>
  </si>
  <si>
    <t xml:space="preserve">2ГИС/Фламп 4,9; Yell: 111 отзывов</t>
  </si>
  <si>
    <t xml:space="preserve">ООО «Агентство путешествий «Румб», ИНН 6321180275; с 2006 г. Автобусные туры по России и СНГ из Самары и Тольятти, экскурсии, круизы</t>
  </si>
  <si>
    <t xml:space="preserve">rumbtour.ru, 2ГИС, Yell, tgl.ru</t>
  </si>
  <si>
    <t xml:space="preserve">ТЛ-Тур («Только лучшие туры»)</t>
  </si>
  <si>
    <t xml:space="preserve">б-р Гая, 19, ТЦ «Метелица», 1 эт., офис 11</t>
  </si>
  <si>
    <t xml:space="preserve">+7 (8482) 50-78-87</t>
  </si>
  <si>
    <t xml:space="preserve">tl-tur.ru; office@tl-tur.ru</t>
  </si>
  <si>
    <t xml:space="preserve">пн–пт 10–19, сб 11–17</t>
  </si>
  <si>
    <t xml:space="preserve">Yell: ≈80 отзывов; Zoon 2,0</t>
  </si>
  <si>
    <t xml:space="preserve">На рынке с 2003 г. Горящие туры за рубеж + собственные автобусные туры по России (Казань, Анапа, Крым и др.), школьные туры, загранпаспорта</t>
  </si>
  <si>
    <t xml:space="preserve">tl-tur.ru, Yell, Zoon</t>
  </si>
  <si>
    <t xml:space="preserve">ул. Горького, 29, 1 эт.</t>
  </si>
  <si>
    <t xml:space="preserve">+7 (8482) 76-76-06; +7 (927) 268-80-80</t>
  </si>
  <si>
    <t xml:space="preserve">tl-tur.ru</t>
  </si>
  <si>
    <t xml:space="preserve">Zoon 4,3</t>
  </si>
  <si>
    <t xml:space="preserve">Здесь же в 2ГИС карточка ANEX Tour; по 2ГИС офис работает до 17:00</t>
  </si>
  <si>
    <t xml:space="preserve">tl-tur.ru, Zoon, 2ГИС</t>
  </si>
  <si>
    <t xml:space="preserve">Тольятти Визит Центр</t>
  </si>
  <si>
    <t xml:space="preserve">ул. Юбилейная, 29, офис 222 (в списке tgl.ru 2016 г. — Юбилейная, 6)</t>
  </si>
  <si>
    <t xml:space="preserve">+7 (8482) 40-91-75; +7 (962) 611-51-75; +7 (8482) 31-83-77; +7 (909) 363-92-19</t>
  </si>
  <si>
    <t xml:space="preserve">visit-togliatti.ru</t>
  </si>
  <si>
    <t xml:space="preserve">Есть в списке туроператоров на сайте мэрии (данные 2016 г.)</t>
  </si>
  <si>
    <t xml:space="preserve">spravka.city, tgl.ru</t>
  </si>
  <si>
    <t xml:space="preserve">Центр туризма «Луч» («Красный луч»)</t>
  </si>
  <si>
    <t xml:space="preserve">ул. Офицерская, 25, офис 303</t>
  </si>
  <si>
    <t xml:space="preserve">+7 (909) 363-79-99</t>
  </si>
  <si>
    <t xml:space="preserve">центр-туризма-луч.рф</t>
  </si>
  <si>
    <t xml:space="preserve">пн–вс 9–20</t>
  </si>
  <si>
    <t xml:space="preserve">Экскурсии, сплавы, походы, корпоративы; офис продаж туроператора «Регион»</t>
  </si>
  <si>
    <t xml:space="preserve">2ГИС, Zoon, otzovik</t>
  </si>
  <si>
    <t xml:space="preserve">ЦТП «Пилигрим»</t>
  </si>
  <si>
    <t xml:space="preserve">ул. Мира, 132</t>
  </si>
  <si>
    <t xml:space="preserve">+7 (8482) 48-45-29; +7 (8482) 48-73-74; +7 (902) 337-63-99</t>
  </si>
  <si>
    <t xml:space="preserve">самара-экскурсии.рф</t>
  </si>
  <si>
    <t xml:space="preserve">пн–пт 9–19</t>
  </si>
  <si>
    <t xml:space="preserve">Yell: 8 отзывов</t>
  </si>
  <si>
    <t xml:space="preserve">С 1996 г., в Едином реестре туроператоров. Экскурсии по Самарской обл., школьные, корпоративные туры, визы</t>
  </si>
  <si>
    <t xml:space="preserve">tgl.ru, Ростуризм, Yell, Zoon</t>
  </si>
  <si>
    <t xml:space="preserve">«Святая Русь» (паломнический центр)</t>
  </si>
  <si>
    <t xml:space="preserve">Паломническая служба</t>
  </si>
  <si>
    <t xml:space="preserve">ул. Революционная, 74а</t>
  </si>
  <si>
    <t xml:space="preserve">+7 (8482) 34-94-47; +7 (8482) 95-21-99; +7 (927) 775-35-23</t>
  </si>
  <si>
    <t xml:space="preserve">palomnik-volga.ru</t>
  </si>
  <si>
    <t xml:space="preserve">пн–пт 10–18, сб 10–15</t>
  </si>
  <si>
    <t xml:space="preserve">Паломнические поездки по Самарской обл. и России; филиал — ул. Юбилейная, 4А</t>
  </si>
  <si>
    <t xml:space="preserve">palomnik-volga.ru, asktel</t>
  </si>
  <si>
    <t xml:space="preserve">Паломническая служба Тольяттинской епархии</t>
  </si>
  <si>
    <t xml:space="preserve">адрес не указан</t>
  </si>
  <si>
    <t xml:space="preserve">+7 (937) 219-58-54</t>
  </si>
  <si>
    <t xml:space="preserve">tltepar.ru; vk.com/palomnik_tlt</t>
  </si>
  <si>
    <t xml:space="preserve">Паломничества по России и за рубеж; e-mail palomnik@tltepar.ru</t>
  </si>
  <si>
    <t xml:space="preserve">tltepar.ru</t>
  </si>
  <si>
    <t xml:space="preserve">Радонеж (паломническая служба)</t>
  </si>
  <si>
    <t xml:space="preserve">ул. Фрунзе, 18 (по Zoon — ул. Юбилейная, 2, 4 эт.)</t>
  </si>
  <si>
    <t xml:space="preserve">+7 (8482) 35-49-90; +7 (8482) 32-30-50</t>
  </si>
  <si>
    <t xml:space="preserve">radonez.ru</t>
  </si>
  <si>
    <t xml:space="preserve">пн–пт 9–18, сб 10–14</t>
  </si>
  <si>
    <t xml:space="preserve">Паломнические поездки (Дивеево и др.); возможен переезд</t>
  </si>
  <si>
    <t xml:space="preserve">Яндекс Карты, tgl.ru, Zoon</t>
  </si>
  <si>
    <t xml:space="preserve">Сводка по списку</t>
  </si>
  <si>
    <t xml:space="preserve">По районам</t>
  </si>
  <si>
    <t xml:space="preserve">Кол-во</t>
  </si>
  <si>
    <t xml:space="preserve">Итого</t>
  </si>
  <si>
    <t xml:space="preserve">По типу</t>
  </si>
  <si>
    <t xml:space="preserve">Всего офисов в списке</t>
  </si>
  <si>
    <t xml:space="preserve">Из них с найденным телефоном</t>
  </si>
  <si>
    <t xml:space="preserve">Записей «нужно проверить»</t>
  </si>
  <si>
    <t xml:space="preserve">Нашлись, но данных мало или они противоречат друг другу</t>
  </si>
  <si>
    <t xml:space="preserve">Что известно</t>
  </si>
  <si>
    <t xml:space="preserve">Анекс Тур</t>
  </si>
  <si>
    <t xml:space="preserve">ул. Автостроителей, 96а, офис 302; телефон не найден</t>
  </si>
  <si>
    <t xml:space="preserve">naitiko.ru</t>
  </si>
  <si>
    <t xml:space="preserve">Ананас-Тур</t>
  </si>
  <si>
    <t xml:space="preserve">адрес расходится: ул. Дзержинского, 78 или ул. Тополиная, 25а; телефона нет</t>
  </si>
  <si>
    <t xml:space="preserve">isprav, rumbtour.ru</t>
  </si>
  <si>
    <t xml:space="preserve">Агентство без названия</t>
  </si>
  <si>
    <t xml:space="preserve">ул. Тополиная, 25а, 1 эт.; +7 (8482) 78-00-83; Zoon 3,0</t>
  </si>
  <si>
    <t xml:space="preserve">Zoon</t>
  </si>
  <si>
    <t xml:space="preserve">Самара-Тур</t>
  </si>
  <si>
    <t xml:space="preserve">ул. Юбилейная, 2б, ТЦ «Восточный дублёр»; +7 (905) 305-22-52; источник не ясен</t>
  </si>
  <si>
    <t xml:space="preserve">поисковая выдача</t>
  </si>
  <si>
    <t xml:space="preserve">Шар (агентство путешествий)</t>
  </si>
  <si>
    <t xml:space="preserve">ул. Свердлова, 22; телефона нет</t>
  </si>
  <si>
    <t xml:space="preserve">bizspravka</t>
  </si>
  <si>
    <t xml:space="preserve">Эль Туристо</t>
  </si>
  <si>
    <t xml:space="preserve">+7 (8482) 61-89-11, пн–пт 9–18 по записи; адреса расходятся: ул. Спортивная, 9 / Приморский б-р, 55 / ул. Платановая, 5; ООО «Эль Туристо», ИНН 6321431916</t>
  </si>
  <si>
    <t xml:space="preserve">2ГИС, spravker, rusprofile</t>
  </si>
  <si>
    <t xml:space="preserve">Инди-Тур</t>
  </si>
  <si>
    <t xml:space="preserve">ООО «Инди-Тур», ИНН 6382091022; адреса офиса нет</t>
  </si>
  <si>
    <t xml:space="preserve">rusprofile</t>
  </si>
  <si>
    <t xml:space="preserve">Major Travel</t>
  </si>
  <si>
    <t xml:space="preserve">ул. Фрунзе, 14Б; телефона нет</t>
  </si>
  <si>
    <t xml:space="preserve">агрегаторы</t>
  </si>
  <si>
    <t xml:space="preserve">ИВЕКС</t>
  </si>
  <si>
    <t xml:space="preserve">сайт iveks.ru; адреса нет</t>
  </si>
  <si>
    <t xml:space="preserve">БАВ Тур</t>
  </si>
  <si>
    <t xml:space="preserve">агентство Pegas, карточка на spravker; адрес не виден</t>
  </si>
  <si>
    <t xml:space="preserve">TOUR BOOKING</t>
  </si>
  <si>
    <t xml:space="preserve">пр-т Степана Разина, 78Б; по Zoon круглосуточно, в 2ГИС в этом доме не найден — возможно, закрыт</t>
  </si>
  <si>
    <t xml:space="preserve">Туроператор (название не отобразилось)</t>
  </si>
  <si>
    <t xml:space="preserve">б-р Королёва, 13, офис 308; (8482) 42-35-07, +7 937 705-40-55; tour-cluster.ru; данные мэрии 2016 г.</t>
  </si>
  <si>
    <t xml:space="preserve">tgl.ru</t>
  </si>
  <si>
    <t xml:space="preserve">ул. Гагарина, 6, офис 116; (8482) 95-05-20, 95-05-04; данные мэрии 2016 г.</t>
  </si>
  <si>
    <t xml:space="preserve">«Воскресение» (паломнические поездки)</t>
  </si>
  <si>
    <t xml:space="preserve">место сбора — ул. Громовой, 54/1; +7 (987) 815-18-30, +7 (960) 823-71-87; группа в OK</t>
  </si>
  <si>
    <t xml:space="preserve">ok.ru</t>
  </si>
  <si>
    <t xml:space="preserve">Travelata</t>
  </si>
  <si>
    <t xml:space="preserve">онлайн-агентство, tolyatti.travelata.ru; офиса в выдаче нет</t>
  </si>
  <si>
    <t xml:space="preserve">travelata.ru</t>
  </si>
  <si>
    <t xml:space="preserve">«Регион» (Казань)</t>
  </si>
  <si>
    <t xml:space="preserve">возит автобусные туры из Тольятти; тел. для туристов (8482) 90-31-11; офисы продаж — Росс-тур, Луч, Добрый День</t>
  </si>
  <si>
    <t xml:space="preserve">Банк горящих туров</t>
  </si>
  <si>
    <t xml:space="preserve">ул. Ленинградская, 53, Дом быта «Россия», офис 201/1; (8482) 79-24-49; tolyatti.bankturov.ru — в Яндексе есть карточка «Больше не работает»</t>
  </si>
  <si>
    <t xml:space="preserve">bankturov.ru, Яндекс Карты</t>
  </si>
  <si>
    <t xml:space="preserve">Ривьера-Тур</t>
  </si>
  <si>
    <t xml:space="preserve">б-р Гая, 19, офис 21 — или ул. Советская, 16 (по Яндексу); телефона нет</t>
  </si>
  <si>
    <t xml:space="preserve">TURIZM.RU, Яндекс Карты</t>
  </si>
  <si>
    <t xml:space="preserve">Тур энд Трэвел</t>
  </si>
  <si>
    <t xml:space="preserve">ООО «Тур`Энд`Трэвел», ИНН 6324026507; офисы: ул. Карла Маркса, 84; ТРЦ «Аэрохолл» (Баныкина, 74); ТРК «Капитал» (Дзержинского, 21); сайт tntravel.ru выглядит устаревшим</t>
  </si>
  <si>
    <t xml:space="preserve">tntravel.ru, rusprofile</t>
  </si>
  <si>
    <t xml:space="preserve">Тропикана тур</t>
  </si>
  <si>
    <t xml:space="preserve">ул. Маршала Жукова, 35, офис 909; в 2ГИС пометка «давно не обновляла данные»</t>
  </si>
  <si>
    <t xml:space="preserve">Ю-Тревэл (молодёжный туризм)</t>
  </si>
  <si>
    <t xml:space="preserve">ул. Тополиная, 22а, ТЦ «Аверс», офис 508 (или 204а); 11–19 по записи; телефона нет</t>
  </si>
  <si>
    <t xml:space="preserve">Компас</t>
  </si>
  <si>
    <t xml:space="preserve">ООО «Компас»; телефон виден не полностью (8482) 71-3…; адреса нет</t>
  </si>
  <si>
    <t xml:space="preserve">vibirai, Фламп</t>
  </si>
  <si>
    <t xml:space="preserve">Исключены из списка</t>
  </si>
  <si>
    <t xml:space="preserve">Интурист-Тольятти (Борковская, 51)</t>
  </si>
  <si>
    <t xml:space="preserve">ЗАО ликвидировано 24.06.2019 — в справочниках осталась устаревшая карточка</t>
  </si>
  <si>
    <t xml:space="preserve">«Пегас-Тур», ул. Жилина, 24, (8482) 40-23-40</t>
  </si>
  <si>
    <t xml:space="preserve">не подтвердилось: по адресу в 2ГИС только нотариус</t>
  </si>
  <si>
    <t xml:space="preserve">Соло-тур</t>
  </si>
  <si>
    <t xml:space="preserve">карточка в разделе Тольятти на Zoon, но адрес в Сызрани</t>
  </si>
  <si>
    <t xml:space="preserve">Как собран список</t>
  </si>
  <si>
    <t xml:space="preserve">Дата сбора: 30.09.2026.</t>
  </si>
  <si>
    <t xml:space="preserve">Источники: 2ГИС, Яндекс Карты, Zoon, Yell, Фламп, spravker, spravka.city, jsprav, TURIZM.RU, vibirai, сайты самих компаний и туроператоров, список туроператоров на сайте мэрии (tgl.ru, данные на 01.12.2016).</t>
  </si>
  <si>
    <t xml:space="preserve">Прямой доступ к справочникам был закрыт сетевыми настройками среды, поэтому сведения взяты из поисковой выдачи (сниппетов). Карточки целиком не открывались — телефоны и часы работы перед звонком лучше перепроверить.</t>
  </si>
  <si>
    <t xml:space="preserve">Список неполный: в рубрике 2ГИС около 160 карточек, на Yell около 420 адресов. Сюда вошли только организации, которые удалось подтвердить. Поиск остановился на лимите веб-запросов сессии.</t>
  </si>
  <si>
    <t xml:space="preserve">Одна строка — один офис. Если у сети несколько офисов, они идут отдельными строками.</t>
  </si>
  <si>
    <t xml:space="preserve">Колонка «Туры за рубеж»: «да» — источник прямо упоминает зарубежные или пакетные туры либо это офис выездного туроператора (Pegas, Coral, Anex, FUN&amp;SUN, TEZ, Mouzenidis); «в основном Россия» — местные операторы автобусных, экскурсионных и паломнических туров; «не ясно» — данных нет.</t>
  </si>
  <si>
    <t xml:space="preserve">Где справочники расходятся (телефон, часы, адрес), в примечании указаны оба варианта. Рейтинги указаны с площадкой; если площадка в источнике не названа, это отмечено.</t>
  </si>
  <si>
    <t xml:space="preserve">Район без пометки взят из источника или однозначно определяется по улице; «Не указан» — если определить не удалось.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</si>
</sst>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gencies" displayName="Agencies" ref="A4:L60" headerRowCount="1" totalsRowCount="0" totalsRowShown="0">
  <autoFilter ref="A4:L60"/>
  <tableColumns count="12">
    <tableColumn id="1" name="№"/>
    <tableColumn id="2" name="Название"/>
    <tableColumn id="3" name="Тип"/>
    <tableColumn id="4" name="Район"/>
    <tableColumn id="5" name="Адрес"/>
    <tableColumn id="6" name="Телефон"/>
    <tableColumn id="7" name="Сайт / соцсети"/>
    <tableColumn id="8" name="Часы работы"/>
    <tableColumn id="9" name="Рейтинг (площадка)"/>
    <tableColumn id="10" name="Туры за рубеж"/>
    <tableColumn id="11" name="Специализация / примечание"/>
    <tableColumn id="12" name="Источник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1001tur.ru/contacts/turfirma-tolyatti/" TargetMode="External"/><Relationship Id="rId2" Type="http://schemas.openxmlformats.org/officeDocument/2006/relationships/hyperlink" Target="https://2gis.ru/togliatti/firm/70000001036011348" TargetMode="External"/><Relationship Id="rId3" Type="http://schemas.openxmlformats.org/officeDocument/2006/relationships/hyperlink" Target="https://anextourtlt.orgs.biz/" TargetMode="External"/><Relationship Id="rId4" Type="http://schemas.openxmlformats.org/officeDocument/2006/relationships/hyperlink" Target="https://2gis.ru/togliatti/firm/70000001060103522" TargetMode="External"/><Relationship Id="rId5" Type="http://schemas.openxmlformats.org/officeDocument/2006/relationships/hyperlink" Target="https://2gis.ru/togliatti/firm/3096753025924270" TargetMode="External"/><Relationship Id="rId6" Type="http://schemas.openxmlformats.org/officeDocument/2006/relationships/hyperlink" Target="https://www.yell.ru/tolyatti/com/turagentstvo-coral-travel_11870676/" TargetMode="External"/><Relationship Id="rId7" Type="http://schemas.openxmlformats.org/officeDocument/2006/relationships/hyperlink" Target="https://zoon.ru/togliatti/hotels/turisticheskoe_agentstvo_coral_travel/" TargetMode="External"/><Relationship Id="rId8" Type="http://schemas.openxmlformats.org/officeDocument/2006/relationships/hyperlink" Target="https://rting.ru/tolyatti/co/fun_sun/3029028" TargetMode="External"/><Relationship Id="rId9" Type="http://schemas.openxmlformats.org/officeDocument/2006/relationships/hyperlink" Target="https://2gis.ru/togliatti/firm/3096754024876454" TargetMode="External"/><Relationship Id="rId10" Type="http://schemas.openxmlformats.org/officeDocument/2006/relationships/hyperlink" Target="https://2gis.ru/togliatti/firm/70000001066550649" TargetMode="External"/><Relationship Id="rId11" Type="http://schemas.openxmlformats.org/officeDocument/2006/relationships/hyperlink" Target="https://2gis.ru/togliatti/firm/70000001027499799" TargetMode="External"/><Relationship Id="rId12" Type="http://schemas.openxmlformats.org/officeDocument/2006/relationships/hyperlink" Target="https://yandex.com/maps/org/pegas_turistik/91646302423/" TargetMode="External"/><Relationship Id="rId13" Type="http://schemas.openxmlformats.org/officeDocument/2006/relationships/hyperlink" Target="https://yandex.com/maps/org/pegas_turistik/34435171048/" TargetMode="External"/><Relationship Id="rId14" Type="http://schemas.openxmlformats.org/officeDocument/2006/relationships/hyperlink" Target="https://2gis.ru/togliatti/firm/70000001020982693" TargetMode="External"/><Relationship Id="rId15" Type="http://schemas.openxmlformats.org/officeDocument/2006/relationships/hyperlink" Target="https://yandex.com/maps/org/pegas_turistik/1057566009/" TargetMode="External"/><Relationship Id="rId16" Type="http://schemas.openxmlformats.org/officeDocument/2006/relationships/hyperlink" Target="http://tolyatti.tez-tour.com/" TargetMode="External"/><Relationship Id="rId17" Type="http://schemas.openxmlformats.org/officeDocument/2006/relationships/hyperlink" Target="https://intour.su/my/contact-us/" TargetMode="External"/><Relationship Id="rId18" Type="http://schemas.openxmlformats.org/officeDocument/2006/relationships/hyperlink" Target="https://mgp.ru/offices/1788/" TargetMode="External"/><Relationship Id="rId19" Type="http://schemas.openxmlformats.org/officeDocument/2006/relationships/hyperlink" Target="https://tolyatti.big-book-relax.ru/company/1284865/" TargetMode="External"/><Relationship Id="rId20" Type="http://schemas.openxmlformats.org/officeDocument/2006/relationships/hyperlink" Target="https://www.yell.ru/tolyatti/com/muzenidis-trevel-tolyatti_10510717/" TargetMode="External"/><Relationship Id="rId21" Type="http://schemas.openxmlformats.org/officeDocument/2006/relationships/hyperlink" Target="https://asktel.ru/tolyatti/turfirma_turagentstvo/niko_turs_tolyatti_2/" TargetMode="External"/><Relationship Id="rId22" Type="http://schemas.openxmlformats.org/officeDocument/2006/relationships/hyperlink" Target="https://tolyatti.jsprav.ru/turisticheskie-agenstva/niko-turs-1/" TargetMode="External"/><Relationship Id="rId23" Type="http://schemas.openxmlformats.org/officeDocument/2006/relationships/hyperlink" Target="https://www.yell.ru/tolyatti/com/niko-turs-tolyatti_10511525/" TargetMode="External"/><Relationship Id="rId24" Type="http://schemas.openxmlformats.org/officeDocument/2006/relationships/hyperlink" Target="https://2gis.ru/togliatti/firm/3096753024921004" TargetMode="External"/><Relationship Id="rId25" Type="http://schemas.openxmlformats.org/officeDocument/2006/relationships/hyperlink" Target="https://2gis.ru/togliatti/firm/70000001033289426" TargetMode="External"/><Relationship Id="rId26" Type="http://schemas.openxmlformats.org/officeDocument/2006/relationships/hyperlink" Target="https://champion-tlt.ru/" TargetMode="External"/><Relationship Id="rId27" Type="http://schemas.openxmlformats.org/officeDocument/2006/relationships/hyperlink" Target="https://www.orgpage.ru/tolyatti/ts-tur-turisticheskoe-agentstvo-1251238.html" TargetMode="External"/><Relationship Id="rId28" Type="http://schemas.openxmlformats.org/officeDocument/2006/relationships/hyperlink" Target="https://toliatti.spravker.ru/turfirmy/pro-tour.htm" TargetMode="External"/><Relationship Id="rId29" Type="http://schemas.openxmlformats.org/officeDocument/2006/relationships/hyperlink" Target="https://2gis.ru/togliatti/firm/3096754025216819" TargetMode="External"/><Relationship Id="rId30" Type="http://schemas.openxmlformats.org/officeDocument/2006/relationships/hyperlink" Target="https://zoon.ru/togliatti/hotels/turisticheskoe_agentstvo_toursale/" TargetMode="External"/><Relationship Id="rId31" Type="http://schemas.openxmlformats.org/officeDocument/2006/relationships/hyperlink" Target="https://www.yell.ru/tolyatti/com/alyie-parusa_10487082/" TargetMode="External"/><Relationship Id="rId32" Type="http://schemas.openxmlformats.org/officeDocument/2006/relationships/hyperlink" Target="https://www.yell.ru/tolyatti/com/turisticheskoe-agentstvo-as-tur_13127395/" TargetMode="External"/><Relationship Id="rId33" Type="http://schemas.openxmlformats.org/officeDocument/2006/relationships/hyperlink" Target="http://victoriatour63.ru/" TargetMode="External"/><Relationship Id="rId34" Type="http://schemas.openxmlformats.org/officeDocument/2006/relationships/hyperlink" Target="https://2gis.ru/togliatti/firm/3096753025718343" TargetMode="External"/><Relationship Id="rId35" Type="http://schemas.openxmlformats.org/officeDocument/2006/relationships/hyperlink" Target="https://www.delfin-tour.ru/agencies/rossiya/241.html" TargetMode="External"/><Relationship Id="rId36" Type="http://schemas.openxmlformats.org/officeDocument/2006/relationships/hyperlink" Target="https://yandex.ru/maps/org/dobry_den/89233362510/reviews" TargetMode="External"/><Relationship Id="rId37" Type="http://schemas.openxmlformats.org/officeDocument/2006/relationships/hyperlink" Target="https://www.yell.ru/tolyatti/com/zagranpasport-tolyatti-ooo_10499581/" TargetMode="External"/><Relationship Id="rId38" Type="http://schemas.openxmlformats.org/officeDocument/2006/relationships/hyperlink" Target="https://2gis.ru/togliatti/firm/3096753024917866" TargetMode="External"/><Relationship Id="rId39" Type="http://schemas.openxmlformats.org/officeDocument/2006/relationships/hyperlink" Target="https://www.yell.ru/tolyatti/com/diskontnoe-agentstvo-turskidki-ru_13127436/" TargetMode="External"/><Relationship Id="rId40" Type="http://schemas.openxmlformats.org/officeDocument/2006/relationships/hyperlink" Target="https://zoon.ru/togliatti/hotels/turisticheskoe_agentstvo_faraon-tur/" TargetMode="External"/><Relationship Id="rId41" Type="http://schemas.openxmlformats.org/officeDocument/2006/relationships/hyperlink" Target="https://tolyatti.vektor-tour.ru/" TargetMode="External"/><Relationship Id="rId42" Type="http://schemas.openxmlformats.org/officeDocument/2006/relationships/hyperlink" Target="https://2gis.ru/togliatti/firm/70000001075342909" TargetMode="External"/><Relationship Id="rId43" Type="http://schemas.openxmlformats.org/officeDocument/2006/relationships/hyperlink" Target="https://2gis.ru/togliatti/firm/3096753025184770" TargetMode="External"/><Relationship Id="rId44" Type="http://schemas.openxmlformats.org/officeDocument/2006/relationships/hyperlink" Target="https://capttour.ru/contacts/" TargetMode="External"/><Relationship Id="rId45" Type="http://schemas.openxmlformats.org/officeDocument/2006/relationships/hyperlink" Target="https://www.poseti-tur.ru/" TargetMode="External"/><Relationship Id="rId46" Type="http://schemas.openxmlformats.org/officeDocument/2006/relationships/hyperlink" Target="https://tolyatti.tur-region.ru/kontakty" TargetMode="External"/><Relationship Id="rId47" Type="http://schemas.openxmlformats.org/officeDocument/2006/relationships/hyperlink" Target="https://tolyatti.tur-region.ru/kontakty" TargetMode="External"/><Relationship Id="rId48" Type="http://schemas.openxmlformats.org/officeDocument/2006/relationships/hyperlink" Target="https://2gis.ru/togliatti/firm/3096753024909549" TargetMode="External"/><Relationship Id="rId49" Type="http://schemas.openxmlformats.org/officeDocument/2006/relationships/hyperlink" Target="https://www.tl-tur.ru/office-tol" TargetMode="External"/><Relationship Id="rId50" Type="http://schemas.openxmlformats.org/officeDocument/2006/relationships/hyperlink" Target="https://2gis.ru/togliatti/firm/3096753024911179" TargetMode="External"/><Relationship Id="rId51" Type="http://schemas.openxmlformats.org/officeDocument/2006/relationships/hyperlink" Target="https://tolyatti.spravka.city/company/tolyatti-vizit-centr" TargetMode="External"/><Relationship Id="rId52" Type="http://schemas.openxmlformats.org/officeDocument/2006/relationships/hyperlink" Target="https://2gis.ru/togliatti/firm/70000001054899253" TargetMode="External"/><Relationship Id="rId53" Type="http://schemas.openxmlformats.org/officeDocument/2006/relationships/hyperlink" Target="https://tourism.gov.ru/operators/show.php?id=107224" TargetMode="External"/><Relationship Id="rId54" Type="http://schemas.openxmlformats.org/officeDocument/2006/relationships/hyperlink" Target="https://www.palomnik-volga.ru/" TargetMode="External"/><Relationship Id="rId55" Type="http://schemas.openxmlformats.org/officeDocument/2006/relationships/hyperlink" Target="https://tltepar.ru/deyatelnost/palomnicheskaya-sluzhba/" TargetMode="External"/><Relationship Id="rId56" Type="http://schemas.openxmlformats.org/officeDocument/2006/relationships/hyperlink" Target="https://yandex.ru/maps/org/radonezh_/1003538361/" TargetMode="External"/><Relationship Id="rId57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34"/>
    <col collapsed="false" customWidth="true" hidden="false" outlineLevel="0" max="7" min="6" style="0" width="24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42"/>
    <col collapsed="false" customWidth="true" hidden="false" outlineLevel="0" max="12" min="1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n">
        <v>1</v>
      </c>
      <c r="B5" s="5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/>
      <c r="I5" s="4"/>
      <c r="J5" s="4" t="s">
        <v>20</v>
      </c>
      <c r="K5" s="4" t="s">
        <v>21</v>
      </c>
      <c r="L5" s="6" t="s">
        <v>22</v>
      </c>
    </row>
    <row r="6" customFormat="false" ht="35.05" hidden="false" customHeight="false" outlineLevel="0" collapsed="false">
      <c r="A6" s="4" t="n">
        <v>2</v>
      </c>
      <c r="B6" s="5" t="s">
        <v>23</v>
      </c>
      <c r="C6" s="4" t="s">
        <v>15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/>
      <c r="J6" s="4" t="s">
        <v>20</v>
      </c>
      <c r="K6" s="4" t="s">
        <v>29</v>
      </c>
      <c r="L6" s="6" t="s">
        <v>30</v>
      </c>
    </row>
    <row r="7" customFormat="false" ht="23.85" hidden="false" customHeight="false" outlineLevel="0" collapsed="false">
      <c r="A7" s="4" t="n">
        <v>3</v>
      </c>
      <c r="B7" s="5" t="s">
        <v>23</v>
      </c>
      <c r="C7" s="4" t="s">
        <v>15</v>
      </c>
      <c r="D7" s="4" t="s">
        <v>16</v>
      </c>
      <c r="E7" s="4" t="s">
        <v>31</v>
      </c>
      <c r="F7" s="4" t="s">
        <v>32</v>
      </c>
      <c r="G7" s="4" t="s">
        <v>33</v>
      </c>
      <c r="H7" s="4"/>
      <c r="I7" s="4"/>
      <c r="J7" s="4" t="s">
        <v>20</v>
      </c>
      <c r="K7" s="4"/>
      <c r="L7" s="6" t="s">
        <v>34</v>
      </c>
    </row>
    <row r="8" customFormat="false" ht="15" hidden="false" customHeight="false" outlineLevel="0" collapsed="false">
      <c r="A8" s="4" t="n">
        <v>4</v>
      </c>
      <c r="B8" s="5" t="s">
        <v>35</v>
      </c>
      <c r="C8" s="4" t="s">
        <v>15</v>
      </c>
      <c r="D8" s="4" t="s">
        <v>16</v>
      </c>
      <c r="E8" s="4" t="s">
        <v>36</v>
      </c>
      <c r="F8" s="4"/>
      <c r="G8" s="4" t="s">
        <v>37</v>
      </c>
      <c r="H8" s="4" t="s">
        <v>38</v>
      </c>
      <c r="I8" s="4"/>
      <c r="J8" s="4" t="s">
        <v>20</v>
      </c>
      <c r="K8" s="4" t="s">
        <v>39</v>
      </c>
      <c r="L8" s="6" t="s">
        <v>40</v>
      </c>
    </row>
    <row r="9" customFormat="false" ht="23.85" hidden="false" customHeight="false" outlineLevel="0" collapsed="false">
      <c r="A9" s="4" t="n">
        <v>5</v>
      </c>
      <c r="B9" s="5" t="s">
        <v>35</v>
      </c>
      <c r="C9" s="4" t="s">
        <v>15</v>
      </c>
      <c r="D9" s="4" t="s">
        <v>16</v>
      </c>
      <c r="E9" s="4" t="s">
        <v>41</v>
      </c>
      <c r="F9" s="4" t="s">
        <v>42</v>
      </c>
      <c r="G9" s="4" t="s">
        <v>43</v>
      </c>
      <c r="H9" s="4" t="s">
        <v>44</v>
      </c>
      <c r="I9" s="4" t="s">
        <v>45</v>
      </c>
      <c r="J9" s="4" t="s">
        <v>20</v>
      </c>
      <c r="K9" s="4" t="s">
        <v>46</v>
      </c>
      <c r="L9" s="6" t="s">
        <v>47</v>
      </c>
    </row>
    <row r="10" customFormat="false" ht="23.85" hidden="false" customHeight="false" outlineLevel="0" collapsed="false">
      <c r="A10" s="4" t="n">
        <v>6</v>
      </c>
      <c r="B10" s="5" t="s">
        <v>35</v>
      </c>
      <c r="C10" s="4" t="s">
        <v>15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4"/>
      <c r="J10" s="4" t="s">
        <v>20</v>
      </c>
      <c r="K10" s="4" t="s">
        <v>53</v>
      </c>
      <c r="L10" s="6" t="s">
        <v>54</v>
      </c>
    </row>
    <row r="11" customFormat="false" ht="23.85" hidden="false" customHeight="false" outlineLevel="0" collapsed="false">
      <c r="A11" s="4" t="n">
        <v>7</v>
      </c>
      <c r="B11" s="5" t="s">
        <v>55</v>
      </c>
      <c r="C11" s="4" t="s">
        <v>15</v>
      </c>
      <c r="D11" s="4" t="s">
        <v>48</v>
      </c>
      <c r="E11" s="4" t="s">
        <v>56</v>
      </c>
      <c r="F11" s="4" t="s">
        <v>57</v>
      </c>
      <c r="G11" s="4"/>
      <c r="H11" s="4" t="s">
        <v>58</v>
      </c>
      <c r="I11" s="4" t="s">
        <v>59</v>
      </c>
      <c r="J11" s="4" t="s">
        <v>20</v>
      </c>
      <c r="K11" s="4" t="s">
        <v>60</v>
      </c>
      <c r="L11" s="6" t="s">
        <v>61</v>
      </c>
    </row>
    <row r="12" customFormat="false" ht="15" hidden="false" customHeight="false" outlineLevel="0" collapsed="false">
      <c r="A12" s="4" t="n">
        <v>8</v>
      </c>
      <c r="B12" s="5" t="s">
        <v>62</v>
      </c>
      <c r="C12" s="4" t="s">
        <v>15</v>
      </c>
      <c r="D12" s="4" t="s">
        <v>16</v>
      </c>
      <c r="E12" s="4" t="s">
        <v>63</v>
      </c>
      <c r="F12" s="4" t="s">
        <v>64</v>
      </c>
      <c r="G12" s="4" t="s">
        <v>65</v>
      </c>
      <c r="H12" s="4" t="s">
        <v>66</v>
      </c>
      <c r="I12" s="4"/>
      <c r="J12" s="4" t="s">
        <v>20</v>
      </c>
      <c r="K12" s="4" t="s">
        <v>67</v>
      </c>
      <c r="L12" s="6" t="s">
        <v>68</v>
      </c>
    </row>
    <row r="13" customFormat="false" ht="35.05" hidden="false" customHeight="false" outlineLevel="0" collapsed="false">
      <c r="A13" s="4" t="n">
        <v>9</v>
      </c>
      <c r="B13" s="5" t="s">
        <v>62</v>
      </c>
      <c r="C13" s="4" t="s">
        <v>15</v>
      </c>
      <c r="D13" s="4" t="s">
        <v>16</v>
      </c>
      <c r="E13" s="4" t="s">
        <v>69</v>
      </c>
      <c r="F13" s="4" t="s">
        <v>70</v>
      </c>
      <c r="G13" s="4" t="s">
        <v>65</v>
      </c>
      <c r="H13" s="4" t="s">
        <v>71</v>
      </c>
      <c r="I13" s="4"/>
      <c r="J13" s="4" t="s">
        <v>20</v>
      </c>
      <c r="K13" s="4" t="s">
        <v>72</v>
      </c>
      <c r="L13" s="6" t="s">
        <v>73</v>
      </c>
    </row>
    <row r="14" customFormat="false" ht="23.85" hidden="false" customHeight="false" outlineLevel="0" collapsed="false">
      <c r="A14" s="4" t="n">
        <v>10</v>
      </c>
      <c r="B14" s="5" t="s">
        <v>62</v>
      </c>
      <c r="C14" s="4" t="s">
        <v>15</v>
      </c>
      <c r="D14" s="4" t="s">
        <v>16</v>
      </c>
      <c r="E14" s="4" t="s">
        <v>74</v>
      </c>
      <c r="F14" s="4" t="s">
        <v>75</v>
      </c>
      <c r="G14" s="4" t="s">
        <v>65</v>
      </c>
      <c r="H14" s="4" t="s">
        <v>76</v>
      </c>
      <c r="I14" s="4" t="s">
        <v>77</v>
      </c>
      <c r="J14" s="4" t="s">
        <v>20</v>
      </c>
      <c r="K14" s="4" t="s">
        <v>78</v>
      </c>
      <c r="L14" s="6" t="s">
        <v>79</v>
      </c>
    </row>
    <row r="15" customFormat="false" ht="23.85" hidden="false" customHeight="false" outlineLevel="0" collapsed="false">
      <c r="A15" s="4" t="n">
        <v>11</v>
      </c>
      <c r="B15" s="5" t="s">
        <v>80</v>
      </c>
      <c r="C15" s="4" t="s">
        <v>15</v>
      </c>
      <c r="D15" s="4" t="s">
        <v>48</v>
      </c>
      <c r="E15" s="4" t="s">
        <v>81</v>
      </c>
      <c r="F15" s="4" t="s">
        <v>82</v>
      </c>
      <c r="G15" s="4" t="s">
        <v>83</v>
      </c>
      <c r="H15" s="4"/>
      <c r="I15" s="4" t="s">
        <v>84</v>
      </c>
      <c r="J15" s="4" t="s">
        <v>20</v>
      </c>
      <c r="K15" s="4" t="s">
        <v>85</v>
      </c>
      <c r="L15" s="6" t="s">
        <v>47</v>
      </c>
    </row>
    <row r="16" customFormat="false" ht="23.85" hidden="false" customHeight="false" outlineLevel="0" collapsed="false">
      <c r="A16" s="4" t="n">
        <v>12</v>
      </c>
      <c r="B16" s="5" t="s">
        <v>86</v>
      </c>
      <c r="C16" s="4" t="s">
        <v>15</v>
      </c>
      <c r="D16" s="4" t="s">
        <v>48</v>
      </c>
      <c r="E16" s="4" t="s">
        <v>87</v>
      </c>
      <c r="F16" s="4" t="s">
        <v>88</v>
      </c>
      <c r="G16" s="4" t="s">
        <v>89</v>
      </c>
      <c r="H16" s="4" t="s">
        <v>90</v>
      </c>
      <c r="I16" s="4"/>
      <c r="J16" s="4" t="s">
        <v>20</v>
      </c>
      <c r="K16" s="4" t="s">
        <v>91</v>
      </c>
      <c r="L16" s="6" t="s">
        <v>92</v>
      </c>
    </row>
    <row r="17" customFormat="false" ht="15" hidden="false" customHeight="false" outlineLevel="0" collapsed="false">
      <c r="A17" s="4" t="n">
        <v>13</v>
      </c>
      <c r="B17" s="5" t="s">
        <v>86</v>
      </c>
      <c r="C17" s="4" t="s">
        <v>15</v>
      </c>
      <c r="D17" s="4" t="s">
        <v>48</v>
      </c>
      <c r="E17" s="4" t="s">
        <v>93</v>
      </c>
      <c r="F17" s="4" t="s">
        <v>94</v>
      </c>
      <c r="G17" s="4" t="s">
        <v>89</v>
      </c>
      <c r="H17" s="4" t="s">
        <v>58</v>
      </c>
      <c r="I17" s="4" t="s">
        <v>95</v>
      </c>
      <c r="J17" s="4" t="s">
        <v>20</v>
      </c>
      <c r="K17" s="4"/>
      <c r="L17" s="6" t="s">
        <v>96</v>
      </c>
    </row>
    <row r="18" customFormat="false" ht="35.05" hidden="false" customHeight="false" outlineLevel="0" collapsed="false">
      <c r="A18" s="4" t="n">
        <v>14</v>
      </c>
      <c r="B18" s="5" t="s">
        <v>97</v>
      </c>
      <c r="C18" s="4" t="s">
        <v>15</v>
      </c>
      <c r="D18" s="4" t="s">
        <v>16</v>
      </c>
      <c r="E18" s="4" t="s">
        <v>98</v>
      </c>
      <c r="F18" s="4" t="s">
        <v>99</v>
      </c>
      <c r="G18" s="4" t="s">
        <v>89</v>
      </c>
      <c r="H18" s="4" t="s">
        <v>100</v>
      </c>
      <c r="I18" s="4"/>
      <c r="J18" s="4" t="s">
        <v>20</v>
      </c>
      <c r="K18" s="4"/>
      <c r="L18" s="6" t="s">
        <v>101</v>
      </c>
    </row>
    <row r="19" customFormat="false" ht="35.05" hidden="false" customHeight="false" outlineLevel="0" collapsed="false">
      <c r="A19" s="4" t="n">
        <v>15</v>
      </c>
      <c r="B19" s="5" t="s">
        <v>102</v>
      </c>
      <c r="C19" s="4" t="s">
        <v>15</v>
      </c>
      <c r="D19" s="4" t="s">
        <v>16</v>
      </c>
      <c r="E19" s="4" t="s">
        <v>103</v>
      </c>
      <c r="F19" s="4" t="s">
        <v>104</v>
      </c>
      <c r="G19" s="4" t="s">
        <v>105</v>
      </c>
      <c r="H19" s="4" t="s">
        <v>106</v>
      </c>
      <c r="I19" s="4"/>
      <c r="J19" s="4" t="s">
        <v>20</v>
      </c>
      <c r="K19" s="4" t="s">
        <v>107</v>
      </c>
      <c r="L19" s="6" t="s">
        <v>108</v>
      </c>
    </row>
    <row r="20" customFormat="false" ht="23.85" hidden="false" customHeight="false" outlineLevel="0" collapsed="false">
      <c r="A20" s="4" t="n">
        <v>16</v>
      </c>
      <c r="B20" s="5" t="s">
        <v>109</v>
      </c>
      <c r="C20" s="4" t="s">
        <v>15</v>
      </c>
      <c r="D20" s="4" t="s">
        <v>16</v>
      </c>
      <c r="E20" s="4" t="s">
        <v>110</v>
      </c>
      <c r="F20" s="4" t="s">
        <v>111</v>
      </c>
      <c r="G20" s="4" t="s">
        <v>112</v>
      </c>
      <c r="H20" s="4"/>
      <c r="I20" s="4"/>
      <c r="J20" s="4" t="s">
        <v>20</v>
      </c>
      <c r="K20" s="4" t="s">
        <v>113</v>
      </c>
      <c r="L20" s="6" t="s">
        <v>114</v>
      </c>
    </row>
    <row r="21" customFormat="false" ht="35.05" hidden="false" customHeight="false" outlineLevel="0" collapsed="false">
      <c r="A21" s="4" t="n">
        <v>17</v>
      </c>
      <c r="B21" s="5" t="s">
        <v>115</v>
      </c>
      <c r="C21" s="4" t="s">
        <v>15</v>
      </c>
      <c r="D21" s="4" t="s">
        <v>16</v>
      </c>
      <c r="E21" s="4" t="s">
        <v>116</v>
      </c>
      <c r="F21" s="4" t="s">
        <v>117</v>
      </c>
      <c r="G21" s="4" t="s">
        <v>118</v>
      </c>
      <c r="H21" s="4" t="s">
        <v>119</v>
      </c>
      <c r="I21" s="4" t="s">
        <v>120</v>
      </c>
      <c r="J21" s="4" t="s">
        <v>20</v>
      </c>
      <c r="K21" s="4" t="s">
        <v>121</v>
      </c>
      <c r="L21" s="6" t="s">
        <v>122</v>
      </c>
    </row>
    <row r="22" customFormat="false" ht="23.85" hidden="false" customHeight="false" outlineLevel="0" collapsed="false">
      <c r="A22" s="4" t="n">
        <v>18</v>
      </c>
      <c r="B22" s="5" t="s">
        <v>123</v>
      </c>
      <c r="C22" s="4" t="s">
        <v>15</v>
      </c>
      <c r="D22" s="4" t="s">
        <v>16</v>
      </c>
      <c r="E22" s="4" t="s">
        <v>124</v>
      </c>
      <c r="F22" s="4"/>
      <c r="G22" s="4" t="s">
        <v>125</v>
      </c>
      <c r="H22" s="4"/>
      <c r="I22" s="4"/>
      <c r="J22" s="4" t="s">
        <v>20</v>
      </c>
      <c r="K22" s="4" t="s">
        <v>126</v>
      </c>
      <c r="L22" s="6" t="s">
        <v>127</v>
      </c>
    </row>
    <row r="23" customFormat="false" ht="23.85" hidden="false" customHeight="false" outlineLevel="0" collapsed="false">
      <c r="A23" s="4" t="n">
        <v>19</v>
      </c>
      <c r="B23" s="5" t="s">
        <v>128</v>
      </c>
      <c r="C23" s="4" t="s">
        <v>15</v>
      </c>
      <c r="D23" s="4" t="s">
        <v>16</v>
      </c>
      <c r="E23" s="4" t="s">
        <v>129</v>
      </c>
      <c r="F23" s="4" t="s">
        <v>130</v>
      </c>
      <c r="G23" s="4" t="s">
        <v>131</v>
      </c>
      <c r="H23" s="4" t="s">
        <v>132</v>
      </c>
      <c r="I23" s="4"/>
      <c r="J23" s="4" t="s">
        <v>20</v>
      </c>
      <c r="K23" s="4" t="s">
        <v>133</v>
      </c>
      <c r="L23" s="6" t="s">
        <v>134</v>
      </c>
    </row>
    <row r="24" customFormat="false" ht="23.85" hidden="false" customHeight="false" outlineLevel="0" collapsed="false">
      <c r="A24" s="4" t="n">
        <v>20</v>
      </c>
      <c r="B24" s="5" t="s">
        <v>135</v>
      </c>
      <c r="C24" s="4" t="s">
        <v>15</v>
      </c>
      <c r="D24" s="4" t="s">
        <v>16</v>
      </c>
      <c r="E24" s="4" t="s">
        <v>136</v>
      </c>
      <c r="F24" s="4" t="s">
        <v>137</v>
      </c>
      <c r="G24" s="4" t="s">
        <v>138</v>
      </c>
      <c r="H24" s="4"/>
      <c r="I24" s="4" t="s">
        <v>139</v>
      </c>
      <c r="J24" s="4" t="s">
        <v>20</v>
      </c>
      <c r="K24" s="4" t="s">
        <v>140</v>
      </c>
      <c r="L24" s="6" t="s">
        <v>141</v>
      </c>
    </row>
    <row r="25" customFormat="false" ht="23.85" hidden="false" customHeight="false" outlineLevel="0" collapsed="false">
      <c r="A25" s="4" t="n">
        <v>21</v>
      </c>
      <c r="B25" s="5" t="s">
        <v>142</v>
      </c>
      <c r="C25" s="4" t="s">
        <v>15</v>
      </c>
      <c r="D25" s="4" t="s">
        <v>48</v>
      </c>
      <c r="E25" s="4" t="s">
        <v>143</v>
      </c>
      <c r="F25" s="4" t="s">
        <v>144</v>
      </c>
      <c r="G25" s="4" t="s">
        <v>145</v>
      </c>
      <c r="H25" s="4" t="s">
        <v>146</v>
      </c>
      <c r="I25" s="4"/>
      <c r="J25" s="4" t="s">
        <v>20</v>
      </c>
      <c r="K25" s="4" t="s">
        <v>147</v>
      </c>
      <c r="L25" s="6" t="s">
        <v>148</v>
      </c>
    </row>
    <row r="26" customFormat="false" ht="23.85" hidden="false" customHeight="false" outlineLevel="0" collapsed="false">
      <c r="A26" s="4" t="n">
        <v>22</v>
      </c>
      <c r="B26" s="5" t="s">
        <v>142</v>
      </c>
      <c r="C26" s="4" t="s">
        <v>15</v>
      </c>
      <c r="D26" s="4" t="s">
        <v>48</v>
      </c>
      <c r="E26" s="4" t="s">
        <v>149</v>
      </c>
      <c r="F26" s="4" t="s">
        <v>144</v>
      </c>
      <c r="G26" s="4" t="s">
        <v>145</v>
      </c>
      <c r="H26" s="4" t="s">
        <v>146</v>
      </c>
      <c r="I26" s="4"/>
      <c r="J26" s="4" t="s">
        <v>20</v>
      </c>
      <c r="K26" s="4" t="s">
        <v>147</v>
      </c>
      <c r="L26" s="6" t="s">
        <v>150</v>
      </c>
    </row>
    <row r="27" customFormat="false" ht="23.85" hidden="false" customHeight="false" outlineLevel="0" collapsed="false">
      <c r="A27" s="4" t="n">
        <v>23</v>
      </c>
      <c r="B27" s="5" t="s">
        <v>142</v>
      </c>
      <c r="C27" s="4" t="s">
        <v>15</v>
      </c>
      <c r="D27" s="4" t="s">
        <v>16</v>
      </c>
      <c r="E27" s="4" t="s">
        <v>151</v>
      </c>
      <c r="F27" s="4" t="s">
        <v>152</v>
      </c>
      <c r="G27" s="4" t="s">
        <v>145</v>
      </c>
      <c r="H27" s="4" t="s">
        <v>146</v>
      </c>
      <c r="I27" s="4" t="s">
        <v>153</v>
      </c>
      <c r="J27" s="4" t="s">
        <v>20</v>
      </c>
      <c r="K27" s="4" t="s">
        <v>154</v>
      </c>
      <c r="L27" s="6" t="s">
        <v>155</v>
      </c>
    </row>
    <row r="28" customFormat="false" ht="23.85" hidden="false" customHeight="false" outlineLevel="0" collapsed="false">
      <c r="A28" s="4" t="n">
        <v>24</v>
      </c>
      <c r="B28" s="5" t="s">
        <v>156</v>
      </c>
      <c r="C28" s="4" t="s">
        <v>15</v>
      </c>
      <c r="D28" s="4" t="s">
        <v>16</v>
      </c>
      <c r="E28" s="4" t="s">
        <v>157</v>
      </c>
      <c r="F28" s="4" t="s">
        <v>158</v>
      </c>
      <c r="G28" s="4" t="s">
        <v>159</v>
      </c>
      <c r="H28" s="4" t="s">
        <v>71</v>
      </c>
      <c r="I28" s="4"/>
      <c r="J28" s="4" t="s">
        <v>20</v>
      </c>
      <c r="K28" s="4" t="s">
        <v>160</v>
      </c>
      <c r="L28" s="6" t="s">
        <v>161</v>
      </c>
    </row>
    <row r="29" customFormat="false" ht="23.85" hidden="false" customHeight="false" outlineLevel="0" collapsed="false">
      <c r="A29" s="4" t="n">
        <v>25</v>
      </c>
      <c r="B29" s="5" t="s">
        <v>162</v>
      </c>
      <c r="C29" s="4" t="s">
        <v>163</v>
      </c>
      <c r="D29" s="4" t="s">
        <v>48</v>
      </c>
      <c r="E29" s="4" t="s">
        <v>164</v>
      </c>
      <c r="F29" s="4" t="s">
        <v>165</v>
      </c>
      <c r="G29" s="4" t="s">
        <v>166</v>
      </c>
      <c r="H29" s="4" t="s">
        <v>167</v>
      </c>
      <c r="I29" s="4" t="s">
        <v>168</v>
      </c>
      <c r="J29" s="4" t="s">
        <v>20</v>
      </c>
      <c r="K29" s="4" t="s">
        <v>169</v>
      </c>
      <c r="L29" s="6" t="s">
        <v>170</v>
      </c>
    </row>
    <row r="30" customFormat="false" ht="23.85" hidden="false" customHeight="false" outlineLevel="0" collapsed="false">
      <c r="A30" s="4" t="n">
        <v>26</v>
      </c>
      <c r="B30" s="5" t="s">
        <v>171</v>
      </c>
      <c r="C30" s="4" t="s">
        <v>163</v>
      </c>
      <c r="D30" s="4" t="s">
        <v>16</v>
      </c>
      <c r="E30" s="4" t="s">
        <v>172</v>
      </c>
      <c r="F30" s="4" t="s">
        <v>173</v>
      </c>
      <c r="G30" s="4" t="s">
        <v>174</v>
      </c>
      <c r="H30" s="4"/>
      <c r="I30" s="4"/>
      <c r="J30" s="4" t="s">
        <v>20</v>
      </c>
      <c r="K30" s="4" t="s">
        <v>175</v>
      </c>
      <c r="L30" s="6" t="s">
        <v>174</v>
      </c>
    </row>
    <row r="31" customFormat="false" ht="15" hidden="false" customHeight="false" outlineLevel="0" collapsed="false">
      <c r="A31" s="4" t="n">
        <v>27</v>
      </c>
      <c r="B31" s="5" t="s">
        <v>176</v>
      </c>
      <c r="C31" s="4" t="s">
        <v>163</v>
      </c>
      <c r="D31" s="4" t="s">
        <v>16</v>
      </c>
      <c r="E31" s="4" t="s">
        <v>177</v>
      </c>
      <c r="F31" s="4" t="s">
        <v>178</v>
      </c>
      <c r="G31" s="4"/>
      <c r="H31" s="4"/>
      <c r="I31" s="4"/>
      <c r="J31" s="4" t="s">
        <v>179</v>
      </c>
      <c r="K31" s="4" t="s">
        <v>180</v>
      </c>
      <c r="L31" s="6" t="s">
        <v>181</v>
      </c>
    </row>
    <row r="32" customFormat="false" ht="15" hidden="false" customHeight="false" outlineLevel="0" collapsed="false">
      <c r="A32" s="4" t="n">
        <v>28</v>
      </c>
      <c r="B32" s="5" t="s">
        <v>182</v>
      </c>
      <c r="C32" s="4" t="s">
        <v>163</v>
      </c>
      <c r="D32" s="4" t="s">
        <v>16</v>
      </c>
      <c r="E32" s="4" t="s">
        <v>183</v>
      </c>
      <c r="F32" s="4" t="s">
        <v>184</v>
      </c>
      <c r="G32" s="4" t="s">
        <v>185</v>
      </c>
      <c r="H32" s="4" t="s">
        <v>132</v>
      </c>
      <c r="I32" s="4"/>
      <c r="J32" s="4" t="s">
        <v>179</v>
      </c>
      <c r="K32" s="4" t="s">
        <v>186</v>
      </c>
      <c r="L32" s="6" t="s">
        <v>187</v>
      </c>
    </row>
    <row r="33" customFormat="false" ht="23.85" hidden="false" customHeight="false" outlineLevel="0" collapsed="false">
      <c r="A33" s="4" t="n">
        <v>29</v>
      </c>
      <c r="B33" s="5" t="s">
        <v>188</v>
      </c>
      <c r="C33" s="4" t="s">
        <v>163</v>
      </c>
      <c r="D33" s="4" t="s">
        <v>48</v>
      </c>
      <c r="E33" s="4" t="s">
        <v>189</v>
      </c>
      <c r="F33" s="4"/>
      <c r="G33" s="4" t="s">
        <v>190</v>
      </c>
      <c r="H33" s="4" t="s">
        <v>191</v>
      </c>
      <c r="I33" s="4"/>
      <c r="J33" s="4" t="s">
        <v>20</v>
      </c>
      <c r="K33" s="4" t="s">
        <v>192</v>
      </c>
      <c r="L33" s="6" t="s">
        <v>193</v>
      </c>
    </row>
    <row r="34" customFormat="false" ht="23.85" hidden="false" customHeight="false" outlineLevel="0" collapsed="false">
      <c r="A34" s="4" t="n">
        <v>30</v>
      </c>
      <c r="B34" s="5" t="s">
        <v>194</v>
      </c>
      <c r="C34" s="4" t="s">
        <v>163</v>
      </c>
      <c r="D34" s="4" t="s">
        <v>16</v>
      </c>
      <c r="E34" s="4" t="s">
        <v>195</v>
      </c>
      <c r="F34" s="4" t="s">
        <v>196</v>
      </c>
      <c r="G34" s="4" t="s">
        <v>197</v>
      </c>
      <c r="H34" s="4" t="s">
        <v>66</v>
      </c>
      <c r="I34" s="4" t="s">
        <v>198</v>
      </c>
      <c r="J34" s="4" t="s">
        <v>20</v>
      </c>
      <c r="K34" s="4"/>
      <c r="L34" s="6" t="s">
        <v>199</v>
      </c>
    </row>
    <row r="35" customFormat="false" ht="23.85" hidden="false" customHeight="false" outlineLevel="0" collapsed="false">
      <c r="A35" s="4" t="n">
        <v>31</v>
      </c>
      <c r="B35" s="5" t="s">
        <v>200</v>
      </c>
      <c r="C35" s="4" t="s">
        <v>163</v>
      </c>
      <c r="D35" s="4" t="s">
        <v>16</v>
      </c>
      <c r="E35" s="4" t="s">
        <v>201</v>
      </c>
      <c r="F35" s="4" t="s">
        <v>202</v>
      </c>
      <c r="G35" s="4"/>
      <c r="H35" s="4"/>
      <c r="I35" s="4" t="s">
        <v>203</v>
      </c>
      <c r="J35" s="4" t="s">
        <v>20</v>
      </c>
      <c r="K35" s="4" t="s">
        <v>204</v>
      </c>
      <c r="L35" s="6" t="s">
        <v>205</v>
      </c>
    </row>
    <row r="36" customFormat="false" ht="15" hidden="false" customHeight="false" outlineLevel="0" collapsed="false">
      <c r="A36" s="4" t="n">
        <v>32</v>
      </c>
      <c r="B36" s="5" t="s">
        <v>206</v>
      </c>
      <c r="C36" s="4" t="s">
        <v>163</v>
      </c>
      <c r="D36" s="4" t="s">
        <v>16</v>
      </c>
      <c r="E36" s="4" t="s">
        <v>207</v>
      </c>
      <c r="F36" s="4" t="s">
        <v>208</v>
      </c>
      <c r="G36" s="4"/>
      <c r="H36" s="4"/>
      <c r="I36" s="4"/>
      <c r="J36" s="4" t="s">
        <v>179</v>
      </c>
      <c r="K36" s="4" t="s">
        <v>209</v>
      </c>
      <c r="L36" s="6" t="s">
        <v>210</v>
      </c>
    </row>
    <row r="37" customFormat="false" ht="23.85" hidden="false" customHeight="false" outlineLevel="0" collapsed="false">
      <c r="A37" s="4" t="n">
        <v>33</v>
      </c>
      <c r="B37" s="5" t="s">
        <v>211</v>
      </c>
      <c r="C37" s="4" t="s">
        <v>163</v>
      </c>
      <c r="D37" s="4" t="s">
        <v>48</v>
      </c>
      <c r="E37" s="4" t="s">
        <v>212</v>
      </c>
      <c r="F37" s="4"/>
      <c r="G37" s="4" t="s">
        <v>213</v>
      </c>
      <c r="H37" s="4"/>
      <c r="I37" s="4" t="s">
        <v>214</v>
      </c>
      <c r="J37" s="4" t="s">
        <v>20</v>
      </c>
      <c r="K37" s="4" t="s">
        <v>215</v>
      </c>
      <c r="L37" s="6" t="s">
        <v>213</v>
      </c>
    </row>
    <row r="38" customFormat="false" ht="23.85" hidden="false" customHeight="false" outlineLevel="0" collapsed="false">
      <c r="A38" s="4" t="n">
        <v>34</v>
      </c>
      <c r="B38" s="5" t="s">
        <v>216</v>
      </c>
      <c r="C38" s="4" t="s">
        <v>163</v>
      </c>
      <c r="D38" s="4" t="s">
        <v>16</v>
      </c>
      <c r="E38" s="4" t="s">
        <v>217</v>
      </c>
      <c r="F38" s="4" t="s">
        <v>218</v>
      </c>
      <c r="G38" s="4" t="s">
        <v>219</v>
      </c>
      <c r="H38" s="4" t="s">
        <v>220</v>
      </c>
      <c r="I38" s="4"/>
      <c r="J38" s="4" t="s">
        <v>20</v>
      </c>
      <c r="K38" s="4" t="s">
        <v>221</v>
      </c>
      <c r="L38" s="6" t="s">
        <v>222</v>
      </c>
    </row>
    <row r="39" customFormat="false" ht="23.85" hidden="false" customHeight="false" outlineLevel="0" collapsed="false">
      <c r="A39" s="4" t="n">
        <v>35</v>
      </c>
      <c r="B39" s="5" t="s">
        <v>223</v>
      </c>
      <c r="C39" s="4" t="s">
        <v>163</v>
      </c>
      <c r="D39" s="4" t="s">
        <v>16</v>
      </c>
      <c r="E39" s="4" t="s">
        <v>224</v>
      </c>
      <c r="F39" s="4" t="s">
        <v>225</v>
      </c>
      <c r="G39" s="4"/>
      <c r="H39" s="4"/>
      <c r="I39" s="4"/>
      <c r="J39" s="4" t="s">
        <v>179</v>
      </c>
      <c r="K39" s="4" t="s">
        <v>226</v>
      </c>
      <c r="L39" s="6" t="s">
        <v>227</v>
      </c>
    </row>
    <row r="40" customFormat="false" ht="35.05" hidden="false" customHeight="false" outlineLevel="0" collapsed="false">
      <c r="A40" s="4" t="n">
        <v>36</v>
      </c>
      <c r="B40" s="5" t="s">
        <v>228</v>
      </c>
      <c r="C40" s="4" t="s">
        <v>163</v>
      </c>
      <c r="D40" s="4" t="s">
        <v>229</v>
      </c>
      <c r="E40" s="4" t="s">
        <v>230</v>
      </c>
      <c r="F40" s="4" t="s">
        <v>231</v>
      </c>
      <c r="G40" s="4" t="s">
        <v>232</v>
      </c>
      <c r="H40" s="4"/>
      <c r="I40" s="4" t="s">
        <v>233</v>
      </c>
      <c r="J40" s="4" t="s">
        <v>234</v>
      </c>
      <c r="K40" s="4" t="s">
        <v>235</v>
      </c>
      <c r="L40" s="6" t="s">
        <v>236</v>
      </c>
    </row>
    <row r="41" customFormat="false" ht="23.85" hidden="false" customHeight="false" outlineLevel="0" collapsed="false">
      <c r="A41" s="4" t="n">
        <v>37</v>
      </c>
      <c r="B41" s="5" t="s">
        <v>237</v>
      </c>
      <c r="C41" s="4" t="s">
        <v>163</v>
      </c>
      <c r="D41" s="4" t="s">
        <v>229</v>
      </c>
      <c r="E41" s="4" t="s">
        <v>238</v>
      </c>
      <c r="F41" s="4" t="s">
        <v>239</v>
      </c>
      <c r="G41" s="4"/>
      <c r="H41" s="4"/>
      <c r="I41" s="4" t="s">
        <v>240</v>
      </c>
      <c r="J41" s="4" t="s">
        <v>20</v>
      </c>
      <c r="K41" s="4" t="s">
        <v>241</v>
      </c>
      <c r="L41" s="6" t="s">
        <v>210</v>
      </c>
    </row>
    <row r="42" customFormat="false" ht="23.85" hidden="false" customHeight="false" outlineLevel="0" collapsed="false">
      <c r="A42" s="4" t="n">
        <v>38</v>
      </c>
      <c r="B42" s="5" t="s">
        <v>242</v>
      </c>
      <c r="C42" s="4" t="s">
        <v>163</v>
      </c>
      <c r="D42" s="4" t="s">
        <v>16</v>
      </c>
      <c r="E42" s="4" t="s">
        <v>243</v>
      </c>
      <c r="F42" s="4"/>
      <c r="G42" s="4"/>
      <c r="H42" s="4" t="s">
        <v>244</v>
      </c>
      <c r="I42" s="4" t="s">
        <v>245</v>
      </c>
      <c r="J42" s="4" t="s">
        <v>20</v>
      </c>
      <c r="K42" s="4" t="s">
        <v>246</v>
      </c>
      <c r="L42" s="6" t="s">
        <v>247</v>
      </c>
    </row>
    <row r="43" customFormat="false" ht="23.85" hidden="false" customHeight="false" outlineLevel="0" collapsed="false">
      <c r="A43" s="4" t="n">
        <v>39</v>
      </c>
      <c r="B43" s="5" t="s">
        <v>248</v>
      </c>
      <c r="C43" s="4" t="s">
        <v>163</v>
      </c>
      <c r="D43" s="4" t="s">
        <v>16</v>
      </c>
      <c r="E43" s="4" t="s">
        <v>249</v>
      </c>
      <c r="F43" s="4" t="s">
        <v>250</v>
      </c>
      <c r="G43" s="4"/>
      <c r="H43" s="4"/>
      <c r="I43" s="4"/>
      <c r="J43" s="4" t="s">
        <v>20</v>
      </c>
      <c r="K43" s="4" t="s">
        <v>251</v>
      </c>
      <c r="L43" s="6" t="s">
        <v>252</v>
      </c>
    </row>
    <row r="44" customFormat="false" ht="23.85" hidden="false" customHeight="false" outlineLevel="0" collapsed="false">
      <c r="A44" s="4" t="n">
        <v>40</v>
      </c>
      <c r="B44" s="5" t="s">
        <v>253</v>
      </c>
      <c r="C44" s="4" t="s">
        <v>163</v>
      </c>
      <c r="D44" s="4" t="s">
        <v>16</v>
      </c>
      <c r="E44" s="4" t="s">
        <v>254</v>
      </c>
      <c r="F44" s="4" t="s">
        <v>255</v>
      </c>
      <c r="G44" s="4"/>
      <c r="H44" s="4" t="s">
        <v>256</v>
      </c>
      <c r="I44" s="4" t="s">
        <v>257</v>
      </c>
      <c r="J44" s="4" t="s">
        <v>20</v>
      </c>
      <c r="K44" s="4" t="s">
        <v>258</v>
      </c>
      <c r="L44" s="6" t="s">
        <v>259</v>
      </c>
    </row>
    <row r="45" customFormat="false" ht="23.85" hidden="false" customHeight="false" outlineLevel="0" collapsed="false">
      <c r="A45" s="4" t="n">
        <v>41</v>
      </c>
      <c r="B45" s="5" t="s">
        <v>260</v>
      </c>
      <c r="C45" s="4" t="s">
        <v>261</v>
      </c>
      <c r="D45" s="4" t="s">
        <v>48</v>
      </c>
      <c r="E45" s="4" t="s">
        <v>262</v>
      </c>
      <c r="F45" s="4" t="s">
        <v>263</v>
      </c>
      <c r="G45" s="4" t="s">
        <v>264</v>
      </c>
      <c r="H45" s="4" t="s">
        <v>265</v>
      </c>
      <c r="I45" s="4" t="s">
        <v>266</v>
      </c>
      <c r="J45" s="4" t="s">
        <v>234</v>
      </c>
      <c r="K45" s="4" t="s">
        <v>267</v>
      </c>
      <c r="L45" s="6" t="s">
        <v>268</v>
      </c>
    </row>
    <row r="46" customFormat="false" ht="35.05" hidden="false" customHeight="false" outlineLevel="0" collapsed="false">
      <c r="A46" s="4" t="n">
        <v>42</v>
      </c>
      <c r="B46" s="5" t="s">
        <v>269</v>
      </c>
      <c r="C46" s="4" t="s">
        <v>261</v>
      </c>
      <c r="D46" s="4" t="s">
        <v>16</v>
      </c>
      <c r="E46" s="4" t="s">
        <v>270</v>
      </c>
      <c r="F46" s="4" t="s">
        <v>271</v>
      </c>
      <c r="G46" s="4" t="s">
        <v>272</v>
      </c>
      <c r="H46" s="4" t="s">
        <v>273</v>
      </c>
      <c r="I46" s="4" t="s">
        <v>274</v>
      </c>
      <c r="J46" s="4" t="s">
        <v>234</v>
      </c>
      <c r="K46" s="4" t="s">
        <v>275</v>
      </c>
      <c r="L46" s="6" t="s">
        <v>276</v>
      </c>
    </row>
    <row r="47" customFormat="false" ht="35.05" hidden="false" customHeight="false" outlineLevel="0" collapsed="false">
      <c r="A47" s="4" t="n">
        <v>43</v>
      </c>
      <c r="B47" s="5" t="s">
        <v>277</v>
      </c>
      <c r="C47" s="4" t="s">
        <v>261</v>
      </c>
      <c r="D47" s="4" t="s">
        <v>48</v>
      </c>
      <c r="E47" s="4" t="s">
        <v>278</v>
      </c>
      <c r="F47" s="4" t="s">
        <v>279</v>
      </c>
      <c r="G47" s="4" t="s">
        <v>280</v>
      </c>
      <c r="H47" s="4" t="s">
        <v>281</v>
      </c>
      <c r="I47" s="4"/>
      <c r="J47" s="4" t="s">
        <v>234</v>
      </c>
      <c r="K47" s="4" t="s">
        <v>282</v>
      </c>
      <c r="L47" s="6" t="s">
        <v>283</v>
      </c>
    </row>
    <row r="48" customFormat="false" ht="23.85" hidden="false" customHeight="false" outlineLevel="0" collapsed="false">
      <c r="A48" s="4" t="n">
        <v>44</v>
      </c>
      <c r="B48" s="5" t="s">
        <v>284</v>
      </c>
      <c r="C48" s="4" t="s">
        <v>261</v>
      </c>
      <c r="D48" s="4" t="s">
        <v>229</v>
      </c>
      <c r="E48" s="4" t="s">
        <v>285</v>
      </c>
      <c r="F48" s="4" t="s">
        <v>286</v>
      </c>
      <c r="G48" s="4" t="s">
        <v>287</v>
      </c>
      <c r="H48" s="4" t="s">
        <v>288</v>
      </c>
      <c r="I48" s="4"/>
      <c r="J48" s="4" t="s">
        <v>234</v>
      </c>
      <c r="K48" s="4" t="s">
        <v>289</v>
      </c>
      <c r="L48" s="6" t="s">
        <v>290</v>
      </c>
    </row>
    <row r="49" customFormat="false" ht="23.85" hidden="false" customHeight="false" outlineLevel="0" collapsed="false">
      <c r="A49" s="4" t="n">
        <v>45</v>
      </c>
      <c r="B49" s="5" t="s">
        <v>291</v>
      </c>
      <c r="C49" s="4" t="s">
        <v>261</v>
      </c>
      <c r="D49" s="4" t="s">
        <v>16</v>
      </c>
      <c r="E49" s="4" t="s">
        <v>292</v>
      </c>
      <c r="F49" s="4" t="s">
        <v>293</v>
      </c>
      <c r="G49" s="4" t="s">
        <v>294</v>
      </c>
      <c r="H49" s="4" t="s">
        <v>295</v>
      </c>
      <c r="I49" s="4" t="s">
        <v>296</v>
      </c>
      <c r="J49" s="4" t="s">
        <v>234</v>
      </c>
      <c r="K49" s="4" t="s">
        <v>297</v>
      </c>
      <c r="L49" s="6" t="s">
        <v>298</v>
      </c>
    </row>
    <row r="50" customFormat="false" ht="23.85" hidden="false" customHeight="false" outlineLevel="0" collapsed="false">
      <c r="A50" s="4" t="n">
        <v>46</v>
      </c>
      <c r="B50" s="5" t="s">
        <v>299</v>
      </c>
      <c r="C50" s="4" t="s">
        <v>261</v>
      </c>
      <c r="D50" s="4" t="s">
        <v>48</v>
      </c>
      <c r="E50" s="4" t="s">
        <v>300</v>
      </c>
      <c r="F50" s="4" t="s">
        <v>301</v>
      </c>
      <c r="G50" s="4"/>
      <c r="H50" s="4"/>
      <c r="I50" s="4"/>
      <c r="J50" s="4" t="s">
        <v>234</v>
      </c>
      <c r="K50" s="4" t="s">
        <v>302</v>
      </c>
      <c r="L50" s="6" t="s">
        <v>303</v>
      </c>
    </row>
    <row r="51" customFormat="false" ht="23.85" hidden="false" customHeight="false" outlineLevel="0" collapsed="false">
      <c r="A51" s="4" t="n">
        <v>47</v>
      </c>
      <c r="B51" s="5" t="s">
        <v>299</v>
      </c>
      <c r="C51" s="4" t="s">
        <v>261</v>
      </c>
      <c r="D51" s="4" t="s">
        <v>16</v>
      </c>
      <c r="E51" s="4" t="s">
        <v>304</v>
      </c>
      <c r="F51" s="4" t="s">
        <v>305</v>
      </c>
      <c r="G51" s="4"/>
      <c r="H51" s="4"/>
      <c r="I51" s="4"/>
      <c r="J51" s="4" t="s">
        <v>234</v>
      </c>
      <c r="K51" s="4" t="s">
        <v>302</v>
      </c>
      <c r="L51" s="6" t="s">
        <v>303</v>
      </c>
    </row>
    <row r="52" customFormat="false" ht="35.05" hidden="false" customHeight="false" outlineLevel="0" collapsed="false">
      <c r="A52" s="4" t="n">
        <v>48</v>
      </c>
      <c r="B52" s="5" t="s">
        <v>306</v>
      </c>
      <c r="C52" s="4" t="s">
        <v>261</v>
      </c>
      <c r="D52" s="4" t="s">
        <v>16</v>
      </c>
      <c r="E52" s="4" t="s">
        <v>307</v>
      </c>
      <c r="F52" s="4" t="s">
        <v>308</v>
      </c>
      <c r="G52" s="4" t="s">
        <v>309</v>
      </c>
      <c r="H52" s="4" t="s">
        <v>146</v>
      </c>
      <c r="I52" s="4" t="s">
        <v>310</v>
      </c>
      <c r="J52" s="4" t="s">
        <v>234</v>
      </c>
      <c r="K52" s="4" t="s">
        <v>311</v>
      </c>
      <c r="L52" s="6" t="s">
        <v>312</v>
      </c>
    </row>
    <row r="53" customFormat="false" ht="35.05" hidden="false" customHeight="false" outlineLevel="0" collapsed="false">
      <c r="A53" s="4" t="n">
        <v>49</v>
      </c>
      <c r="B53" s="5" t="s">
        <v>313</v>
      </c>
      <c r="C53" s="4" t="s">
        <v>261</v>
      </c>
      <c r="D53" s="4" t="s">
        <v>16</v>
      </c>
      <c r="E53" s="4" t="s">
        <v>314</v>
      </c>
      <c r="F53" s="4" t="s">
        <v>315</v>
      </c>
      <c r="G53" s="4" t="s">
        <v>316</v>
      </c>
      <c r="H53" s="4" t="s">
        <v>317</v>
      </c>
      <c r="I53" s="4" t="s">
        <v>318</v>
      </c>
      <c r="J53" s="4" t="s">
        <v>20</v>
      </c>
      <c r="K53" s="4" t="s">
        <v>319</v>
      </c>
      <c r="L53" s="6" t="s">
        <v>320</v>
      </c>
    </row>
    <row r="54" customFormat="false" ht="23.85" hidden="false" customHeight="false" outlineLevel="0" collapsed="false">
      <c r="A54" s="4" t="n">
        <v>50</v>
      </c>
      <c r="B54" s="5" t="s">
        <v>313</v>
      </c>
      <c r="C54" s="4" t="s">
        <v>261</v>
      </c>
      <c r="D54" s="4" t="s">
        <v>48</v>
      </c>
      <c r="E54" s="4" t="s">
        <v>321</v>
      </c>
      <c r="F54" s="4" t="s">
        <v>322</v>
      </c>
      <c r="G54" s="4" t="s">
        <v>323</v>
      </c>
      <c r="H54" s="4" t="s">
        <v>317</v>
      </c>
      <c r="I54" s="4" t="s">
        <v>324</v>
      </c>
      <c r="J54" s="4" t="s">
        <v>20</v>
      </c>
      <c r="K54" s="4" t="s">
        <v>325</v>
      </c>
      <c r="L54" s="6" t="s">
        <v>326</v>
      </c>
    </row>
    <row r="55" customFormat="false" ht="35.05" hidden="false" customHeight="false" outlineLevel="0" collapsed="false">
      <c r="A55" s="4" t="n">
        <v>51</v>
      </c>
      <c r="B55" s="5" t="s">
        <v>327</v>
      </c>
      <c r="C55" s="4" t="s">
        <v>261</v>
      </c>
      <c r="D55" s="4" t="s">
        <v>16</v>
      </c>
      <c r="E55" s="4" t="s">
        <v>328</v>
      </c>
      <c r="F55" s="4" t="s">
        <v>329</v>
      </c>
      <c r="G55" s="4" t="s">
        <v>330</v>
      </c>
      <c r="H55" s="4" t="s">
        <v>71</v>
      </c>
      <c r="I55" s="4"/>
      <c r="J55" s="4" t="s">
        <v>234</v>
      </c>
      <c r="K55" s="4" t="s">
        <v>331</v>
      </c>
      <c r="L55" s="6" t="s">
        <v>332</v>
      </c>
    </row>
    <row r="56" customFormat="false" ht="23.85" hidden="false" customHeight="false" outlineLevel="0" collapsed="false">
      <c r="A56" s="4" t="n">
        <v>52</v>
      </c>
      <c r="B56" s="5" t="s">
        <v>333</v>
      </c>
      <c r="C56" s="4" t="s">
        <v>261</v>
      </c>
      <c r="D56" s="4" t="s">
        <v>16</v>
      </c>
      <c r="E56" s="4" t="s">
        <v>334</v>
      </c>
      <c r="F56" s="4" t="s">
        <v>335</v>
      </c>
      <c r="G56" s="4" t="s">
        <v>336</v>
      </c>
      <c r="H56" s="4" t="s">
        <v>337</v>
      </c>
      <c r="I56" s="4"/>
      <c r="J56" s="4" t="s">
        <v>234</v>
      </c>
      <c r="K56" s="4" t="s">
        <v>338</v>
      </c>
      <c r="L56" s="6" t="s">
        <v>339</v>
      </c>
    </row>
    <row r="57" customFormat="false" ht="23.85" hidden="false" customHeight="false" outlineLevel="0" collapsed="false">
      <c r="A57" s="4" t="n">
        <v>53</v>
      </c>
      <c r="B57" s="5" t="s">
        <v>340</v>
      </c>
      <c r="C57" s="4" t="s">
        <v>261</v>
      </c>
      <c r="D57" s="4" t="s">
        <v>48</v>
      </c>
      <c r="E57" s="4" t="s">
        <v>341</v>
      </c>
      <c r="F57" s="4" t="s">
        <v>342</v>
      </c>
      <c r="G57" s="4" t="s">
        <v>343</v>
      </c>
      <c r="H57" s="4" t="s">
        <v>344</v>
      </c>
      <c r="I57" s="4" t="s">
        <v>345</v>
      </c>
      <c r="J57" s="4" t="s">
        <v>234</v>
      </c>
      <c r="K57" s="4" t="s">
        <v>346</v>
      </c>
      <c r="L57" s="6" t="s">
        <v>347</v>
      </c>
    </row>
    <row r="58" customFormat="false" ht="23.85" hidden="false" customHeight="false" outlineLevel="0" collapsed="false">
      <c r="A58" s="4" t="n">
        <v>54</v>
      </c>
      <c r="B58" s="5" t="s">
        <v>348</v>
      </c>
      <c r="C58" s="4" t="s">
        <v>349</v>
      </c>
      <c r="D58" s="4" t="s">
        <v>16</v>
      </c>
      <c r="E58" s="4" t="s">
        <v>350</v>
      </c>
      <c r="F58" s="4" t="s">
        <v>351</v>
      </c>
      <c r="G58" s="4" t="s">
        <v>352</v>
      </c>
      <c r="H58" s="4" t="s">
        <v>353</v>
      </c>
      <c r="I58" s="4"/>
      <c r="J58" s="4" t="s">
        <v>234</v>
      </c>
      <c r="K58" s="4" t="s">
        <v>354</v>
      </c>
      <c r="L58" s="6" t="s">
        <v>355</v>
      </c>
    </row>
    <row r="59" customFormat="false" ht="23.85" hidden="false" customHeight="false" outlineLevel="0" collapsed="false">
      <c r="A59" s="4" t="n">
        <v>55</v>
      </c>
      <c r="B59" s="5" t="s">
        <v>356</v>
      </c>
      <c r="C59" s="4" t="s">
        <v>349</v>
      </c>
      <c r="D59" s="4" t="s">
        <v>24</v>
      </c>
      <c r="E59" s="4" t="s">
        <v>357</v>
      </c>
      <c r="F59" s="4" t="s">
        <v>358</v>
      </c>
      <c r="G59" s="4" t="s">
        <v>359</v>
      </c>
      <c r="H59" s="4"/>
      <c r="I59" s="4"/>
      <c r="J59" s="4" t="s">
        <v>234</v>
      </c>
      <c r="K59" s="4" t="s">
        <v>360</v>
      </c>
      <c r="L59" s="6" t="s">
        <v>361</v>
      </c>
    </row>
    <row r="60" customFormat="false" ht="23.85" hidden="false" customHeight="false" outlineLevel="0" collapsed="false">
      <c r="A60" s="4" t="n">
        <v>56</v>
      </c>
      <c r="B60" s="5" t="s">
        <v>362</v>
      </c>
      <c r="C60" s="4" t="s">
        <v>349</v>
      </c>
      <c r="D60" s="4" t="s">
        <v>16</v>
      </c>
      <c r="E60" s="4" t="s">
        <v>363</v>
      </c>
      <c r="F60" s="4" t="s">
        <v>364</v>
      </c>
      <c r="G60" s="4" t="s">
        <v>365</v>
      </c>
      <c r="H60" s="4" t="s">
        <v>366</v>
      </c>
      <c r="I60" s="4"/>
      <c r="J60" s="4" t="s">
        <v>234</v>
      </c>
      <c r="K60" s="4" t="s">
        <v>367</v>
      </c>
      <c r="L60" s="6" t="s">
        <v>368</v>
      </c>
    </row>
  </sheetData>
  <hyperlinks>
    <hyperlink ref="L5" r:id="rId1" display="Zoon, 1001tur.ru"/>
    <hyperlink ref="L6" r:id="rId2" display="2ГИС, jsprav"/>
    <hyperlink ref="L7" r:id="rId3" display="orgs.biz"/>
    <hyperlink ref="L8" r:id="rId4" display="2ГИС"/>
    <hyperlink ref="L9" r:id="rId5" display="2ГИС, Zoon, Яндекс Карты"/>
    <hyperlink ref="L10" r:id="rId6" display="Yell, crl-tour.ru"/>
    <hyperlink ref="L11" r:id="rId7" display="Zoon, naitiko, farverig"/>
    <hyperlink ref="L12" r:id="rId8" display="rting.ru"/>
    <hyperlink ref="L13" r:id="rId9" display="2ГИС, jsprav, spravker"/>
    <hyperlink ref="L14" r:id="rId10" display="2ГИС, xtool"/>
    <hyperlink ref="L15" r:id="rId11" display="2ГИС, Zoon, Яндекс Карты"/>
    <hyperlink ref="L16" r:id="rId12" display="Яндекс Карты, jsprav"/>
    <hyperlink ref="L17" r:id="rId13" display="Яндекс Карты"/>
    <hyperlink ref="L18" r:id="rId14" display="2ГИС, Яндекс Карты, orgpage"/>
    <hyperlink ref="L19" r:id="rId15" display="Яндекс Карты, orgsinfo, spravka.city, yp.ru"/>
    <hyperlink ref="L20" r:id="rId16" display="tez-tour.com"/>
    <hyperlink ref="L21" r:id="rId17" display="intour.su, Zoon, viasun"/>
    <hyperlink ref="L22" r:id="rId18" display="mgp.ru, vibirai"/>
    <hyperlink ref="L23" r:id="rId19" display="big-book-relax, orgs.biz"/>
    <hyperlink ref="L24" r:id="rId20" display="Yell, сайт туроператора"/>
    <hyperlink ref="L25" r:id="rId21" display="asktel, spravka.city"/>
    <hyperlink ref="L26" r:id="rId22" display="Фламп, jsprav"/>
    <hyperlink ref="L27" r:id="rId23" display="Yell, 2ГИС, spravka.city"/>
    <hyperlink ref="L28" r:id="rId24" display="2ГИС, Яндекс Карты, samaraintour.ru"/>
    <hyperlink ref="L29" r:id="rId25" display="2ГИС, Zoon"/>
    <hyperlink ref="L30" r:id="rId26" display="champion-tlt.ru"/>
    <hyperlink ref="L31" r:id="rId27" display="orgpage"/>
    <hyperlink ref="L32" r:id="rId28" display="spravker"/>
    <hyperlink ref="L33" r:id="rId29" display="2ГИС, vibirai"/>
    <hyperlink ref="L34" r:id="rId30" display="Zoon, asktel"/>
    <hyperlink ref="L35" r:id="rId31" display="Yell, Яндекс Карты"/>
    <hyperlink ref="L36" r:id="rId32" display="Yell"/>
    <hyperlink ref="L37" r:id="rId33" display="victoriatour63.ru"/>
    <hyperlink ref="L38" r:id="rId34" display="2ГИС, rubrikator"/>
    <hyperlink ref="L39" r:id="rId35" display="delfin-tour.ru, rusprofile"/>
    <hyperlink ref="L40" r:id="rId36" display="2ГИС, Яндекс Карты, turdd.ru"/>
    <hyperlink ref="L41" r:id="rId37" display="Yell"/>
    <hyperlink ref="L42" r:id="rId38" display="2ГИС, TURIZM.RU"/>
    <hyperlink ref="L43" r:id="rId39" display="Yell, vibirai"/>
    <hyperlink ref="L44" r:id="rId40" display="Zoon, Yell"/>
    <hyperlink ref="L45" r:id="rId41" display="Яндекс Карты, Zoon, Yell, сайт"/>
    <hyperlink ref="L46" r:id="rId42" display="2ГИС, Яндекс Карты, Zoon"/>
    <hyperlink ref="L47" r:id="rId43" display="2ГИС, spravker"/>
    <hyperlink ref="L48" r:id="rId44" display="capttour.ru, Яндекс Карты, Zoon"/>
    <hyperlink ref="L49" r:id="rId45" display="poseti-tur.ru, Фламп, Zoon"/>
    <hyperlink ref="L50" r:id="rId46" display="tur-region.ru"/>
    <hyperlink ref="L51" r:id="rId47" display="tur-region.ru"/>
    <hyperlink ref="L52" r:id="rId48" display="rumbtour.ru, 2ГИС, Yell, tgl.ru"/>
    <hyperlink ref="L53" r:id="rId49" display="tl-tur.ru, Yell, Zoon"/>
    <hyperlink ref="L54" r:id="rId50" display="tl-tur.ru, Zoon, 2ГИС"/>
    <hyperlink ref="L55" r:id="rId51" display="spravka.city, tgl.ru"/>
    <hyperlink ref="L56" r:id="rId52" display="2ГИС, Zoon, otzovik"/>
    <hyperlink ref="L57" r:id="rId53" display="tgl.ru, Ростуризм, Yell, Zoon"/>
    <hyperlink ref="L58" r:id="rId54" display="palomnik-volga.ru, asktel"/>
    <hyperlink ref="L59" r:id="rId55" display="tltepar.ru"/>
    <hyperlink ref="L60" r:id="rId56" display="Яндекс Карты, tgl.ru, Zo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" t="s">
        <v>369</v>
      </c>
    </row>
    <row r="3" customFormat="false" ht="15" hidden="false" customHeight="false" outlineLevel="0" collapsed="false">
      <c r="A3" s="7" t="s">
        <v>370</v>
      </c>
      <c r="B3" s="7" t="s">
        <v>371</v>
      </c>
    </row>
    <row r="4" customFormat="false" ht="15" hidden="false" customHeight="false" outlineLevel="0" collapsed="false">
      <c r="A4" s="8" t="s">
        <v>16</v>
      </c>
      <c r="B4" s="8" t="n">
        <f aca="false">COUNTIF(Турагентства!$D$5:$D$60,A4)</f>
        <v>36</v>
      </c>
    </row>
    <row r="5" customFormat="false" ht="15" hidden="false" customHeight="false" outlineLevel="0" collapsed="false">
      <c r="A5" s="8" t="s">
        <v>48</v>
      </c>
      <c r="B5" s="8" t="n">
        <f aca="false">COUNTIF(Турагентства!$D$5:$D$60,A5)</f>
        <v>15</v>
      </c>
    </row>
    <row r="6" customFormat="false" ht="15" hidden="false" customHeight="false" outlineLevel="0" collapsed="false">
      <c r="A6" s="8" t="s">
        <v>229</v>
      </c>
      <c r="B6" s="8" t="n">
        <f aca="false">COUNTIF(Турагентства!$D$5:$D$60,A6)</f>
        <v>3</v>
      </c>
    </row>
    <row r="7" customFormat="false" ht="15" hidden="false" customHeight="false" outlineLevel="0" collapsed="false">
      <c r="A7" s="8" t="s">
        <v>24</v>
      </c>
      <c r="B7" s="8" t="n">
        <f aca="false">COUNTIF(Турагентства!$D$5:$D$60,A7)</f>
        <v>2</v>
      </c>
    </row>
    <row r="8" customFormat="false" ht="15" hidden="false" customHeight="false" outlineLevel="0" collapsed="false">
      <c r="A8" s="7" t="s">
        <v>372</v>
      </c>
      <c r="B8" s="7" t="n">
        <f aca="false">SUM(B4:B7)</f>
        <v>56</v>
      </c>
    </row>
    <row r="10" customFormat="false" ht="15" hidden="false" customHeight="false" outlineLevel="0" collapsed="false">
      <c r="A10" s="7" t="s">
        <v>373</v>
      </c>
      <c r="B10" s="7" t="s">
        <v>371</v>
      </c>
    </row>
    <row r="11" customFormat="false" ht="15" hidden="false" customHeight="false" outlineLevel="0" collapsed="false">
      <c r="A11" s="8" t="s">
        <v>15</v>
      </c>
      <c r="B11" s="8" t="n">
        <f aca="false">COUNTIF(Турагентства!$C$5:$C$60,A11)</f>
        <v>24</v>
      </c>
    </row>
    <row r="12" customFormat="false" ht="15" hidden="false" customHeight="false" outlineLevel="0" collapsed="false">
      <c r="A12" s="8" t="s">
        <v>163</v>
      </c>
      <c r="B12" s="8" t="n">
        <f aca="false">COUNTIF(Турагентства!$C$5:$C$60,A12)</f>
        <v>16</v>
      </c>
    </row>
    <row r="13" customFormat="false" ht="15" hidden="false" customHeight="false" outlineLevel="0" collapsed="false">
      <c r="A13" s="8" t="s">
        <v>261</v>
      </c>
      <c r="B13" s="8" t="n">
        <f aca="false">COUNTIF(Турагентства!$C$5:$C$60,A13)</f>
        <v>13</v>
      </c>
    </row>
    <row r="14" customFormat="false" ht="15" hidden="false" customHeight="false" outlineLevel="0" collapsed="false">
      <c r="A14" s="8" t="s">
        <v>349</v>
      </c>
      <c r="B14" s="8" t="n">
        <f aca="false">COUNTIF(Турагентства!$C$5:$C$60,A14)</f>
        <v>3</v>
      </c>
    </row>
    <row r="15" customFormat="false" ht="15" hidden="false" customHeight="false" outlineLevel="0" collapsed="false">
      <c r="A15" s="7" t="s">
        <v>372</v>
      </c>
      <c r="B15" s="7" t="n">
        <f aca="false">SUM(B11:B14)</f>
        <v>56</v>
      </c>
    </row>
    <row r="17" customFormat="false" ht="15" hidden="false" customHeight="false" outlineLevel="0" collapsed="false">
      <c r="A17" s="7" t="s">
        <v>11</v>
      </c>
      <c r="B17" s="7" t="s">
        <v>371</v>
      </c>
    </row>
    <row r="18" customFormat="false" ht="15" hidden="false" customHeight="false" outlineLevel="0" collapsed="false">
      <c r="A18" s="8" t="s">
        <v>20</v>
      </c>
      <c r="B18" s="8" t="n">
        <f aca="false">COUNTIF(Турагентства!$J$5:$J$60,A18)</f>
        <v>37</v>
      </c>
    </row>
    <row r="19" customFormat="false" ht="15" hidden="false" customHeight="false" outlineLevel="0" collapsed="false">
      <c r="A19" s="8" t="s">
        <v>234</v>
      </c>
      <c r="B19" s="8" t="n">
        <f aca="false">COUNTIF(Турагентства!$J$5:$J$60,A19)</f>
        <v>15</v>
      </c>
    </row>
    <row r="20" customFormat="false" ht="15" hidden="false" customHeight="false" outlineLevel="0" collapsed="false">
      <c r="A20" s="8" t="s">
        <v>179</v>
      </c>
      <c r="B20" s="8" t="n">
        <f aca="false">COUNTIF(Турагентства!$J$5:$J$60,A20)</f>
        <v>4</v>
      </c>
    </row>
    <row r="21" customFormat="false" ht="15" hidden="false" customHeight="false" outlineLevel="0" collapsed="false">
      <c r="A21" s="7" t="s">
        <v>372</v>
      </c>
      <c r="B21" s="7" t="n">
        <f aca="false">SUM(B18:B20)</f>
        <v>56</v>
      </c>
    </row>
    <row r="23" customFormat="false" ht="15" hidden="false" customHeight="false" outlineLevel="0" collapsed="false">
      <c r="A23" s="7" t="s">
        <v>374</v>
      </c>
      <c r="B23" s="7" t="n">
        <f aca="false">COUNTA(Турагентства!$B$5:$B$60)</f>
        <v>56</v>
      </c>
    </row>
    <row r="24" customFormat="false" ht="15" hidden="false" customHeight="false" outlineLevel="0" collapsed="false">
      <c r="A24" s="8" t="s">
        <v>375</v>
      </c>
      <c r="B24" s="8" t="n">
        <f aca="false">COUNTA(Турагентства!$B$5:$B$60)-COUNTBLANK(Турагентства!$F$5:$F$60)</f>
        <v>51</v>
      </c>
    </row>
    <row r="25" customFormat="false" ht="15" hidden="false" customHeight="false" outlineLevel="0" collapsed="false">
      <c r="A25" s="8" t="s">
        <v>376</v>
      </c>
      <c r="B25" s="8" t="n">
        <f aca="false">COUNTA('Нужно проверить'!$B$4:$B$25)</f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90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377</v>
      </c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378</v>
      </c>
      <c r="D3" s="3" t="s">
        <v>13</v>
      </c>
    </row>
    <row r="4" customFormat="false" ht="15" hidden="false" customHeight="false" outlineLevel="0" collapsed="false">
      <c r="A4" s="4" t="n">
        <v>1</v>
      </c>
      <c r="B4" s="5" t="s">
        <v>379</v>
      </c>
      <c r="C4" s="4" t="s">
        <v>380</v>
      </c>
      <c r="D4" s="4" t="s">
        <v>381</v>
      </c>
    </row>
    <row r="5" customFormat="false" ht="15" hidden="false" customHeight="false" outlineLevel="0" collapsed="false">
      <c r="A5" s="4" t="n">
        <v>2</v>
      </c>
      <c r="B5" s="5" t="s">
        <v>382</v>
      </c>
      <c r="C5" s="4" t="s">
        <v>383</v>
      </c>
      <c r="D5" s="4" t="s">
        <v>384</v>
      </c>
    </row>
    <row r="6" customFormat="false" ht="15" hidden="false" customHeight="false" outlineLevel="0" collapsed="false">
      <c r="A6" s="4" t="n">
        <v>3</v>
      </c>
      <c r="B6" s="5" t="s">
        <v>385</v>
      </c>
      <c r="C6" s="4" t="s">
        <v>386</v>
      </c>
      <c r="D6" s="4" t="s">
        <v>387</v>
      </c>
    </row>
    <row r="7" customFormat="false" ht="15" hidden="false" customHeight="false" outlineLevel="0" collapsed="false">
      <c r="A7" s="4" t="n">
        <v>4</v>
      </c>
      <c r="B7" s="5" t="s">
        <v>388</v>
      </c>
      <c r="C7" s="4" t="s">
        <v>389</v>
      </c>
      <c r="D7" s="4" t="s">
        <v>390</v>
      </c>
    </row>
    <row r="8" customFormat="false" ht="15" hidden="false" customHeight="false" outlineLevel="0" collapsed="false">
      <c r="A8" s="4" t="n">
        <v>5</v>
      </c>
      <c r="B8" s="5" t="s">
        <v>391</v>
      </c>
      <c r="C8" s="4" t="s">
        <v>392</v>
      </c>
      <c r="D8" s="4" t="s">
        <v>393</v>
      </c>
    </row>
    <row r="9" customFormat="false" ht="23.85" hidden="false" customHeight="false" outlineLevel="0" collapsed="false">
      <c r="A9" s="4" t="n">
        <v>6</v>
      </c>
      <c r="B9" s="5" t="s">
        <v>394</v>
      </c>
      <c r="C9" s="4" t="s">
        <v>395</v>
      </c>
      <c r="D9" s="4" t="s">
        <v>396</v>
      </c>
    </row>
    <row r="10" customFormat="false" ht="15" hidden="false" customHeight="false" outlineLevel="0" collapsed="false">
      <c r="A10" s="4" t="n">
        <v>7</v>
      </c>
      <c r="B10" s="5" t="s">
        <v>397</v>
      </c>
      <c r="C10" s="4" t="s">
        <v>398</v>
      </c>
      <c r="D10" s="4" t="s">
        <v>399</v>
      </c>
    </row>
    <row r="11" customFormat="false" ht="15" hidden="false" customHeight="false" outlineLevel="0" collapsed="false">
      <c r="A11" s="4" t="n">
        <v>8</v>
      </c>
      <c r="B11" s="5" t="s">
        <v>400</v>
      </c>
      <c r="C11" s="4" t="s">
        <v>401</v>
      </c>
      <c r="D11" s="4" t="s">
        <v>402</v>
      </c>
    </row>
    <row r="12" customFormat="false" ht="15" hidden="false" customHeight="false" outlineLevel="0" collapsed="false">
      <c r="A12" s="4" t="n">
        <v>9</v>
      </c>
      <c r="B12" s="5" t="s">
        <v>403</v>
      </c>
      <c r="C12" s="4" t="s">
        <v>404</v>
      </c>
      <c r="D12" s="4" t="s">
        <v>390</v>
      </c>
    </row>
    <row r="13" customFormat="false" ht="15" hidden="false" customHeight="false" outlineLevel="0" collapsed="false">
      <c r="A13" s="4" t="n">
        <v>10</v>
      </c>
      <c r="B13" s="5" t="s">
        <v>405</v>
      </c>
      <c r="C13" s="4" t="s">
        <v>406</v>
      </c>
      <c r="D13" s="4" t="s">
        <v>187</v>
      </c>
    </row>
    <row r="14" customFormat="false" ht="15" hidden="false" customHeight="false" outlineLevel="0" collapsed="false">
      <c r="A14" s="4" t="n">
        <v>11</v>
      </c>
      <c r="B14" s="5" t="s">
        <v>407</v>
      </c>
      <c r="C14" s="4" t="s">
        <v>408</v>
      </c>
      <c r="D14" s="4" t="s">
        <v>387</v>
      </c>
    </row>
    <row r="15" customFormat="false" ht="23.85" hidden="false" customHeight="false" outlineLevel="0" collapsed="false">
      <c r="A15" s="4" t="n">
        <v>12</v>
      </c>
      <c r="B15" s="5" t="s">
        <v>409</v>
      </c>
      <c r="C15" s="4" t="s">
        <v>410</v>
      </c>
      <c r="D15" s="4" t="s">
        <v>411</v>
      </c>
    </row>
    <row r="16" customFormat="false" ht="23.85" hidden="false" customHeight="false" outlineLevel="0" collapsed="false">
      <c r="A16" s="4" t="n">
        <v>13</v>
      </c>
      <c r="B16" s="5" t="s">
        <v>409</v>
      </c>
      <c r="C16" s="4" t="s">
        <v>412</v>
      </c>
      <c r="D16" s="4" t="s">
        <v>411</v>
      </c>
    </row>
    <row r="17" customFormat="false" ht="15" hidden="false" customHeight="false" outlineLevel="0" collapsed="false">
      <c r="A17" s="4" t="n">
        <v>14</v>
      </c>
      <c r="B17" s="5" t="s">
        <v>413</v>
      </c>
      <c r="C17" s="4" t="s">
        <v>414</v>
      </c>
      <c r="D17" s="4" t="s">
        <v>415</v>
      </c>
    </row>
    <row r="18" customFormat="false" ht="15" hidden="false" customHeight="false" outlineLevel="0" collapsed="false">
      <c r="A18" s="4" t="n">
        <v>15</v>
      </c>
      <c r="B18" s="5" t="s">
        <v>416</v>
      </c>
      <c r="C18" s="4" t="s">
        <v>417</v>
      </c>
      <c r="D18" s="4" t="s">
        <v>418</v>
      </c>
    </row>
    <row r="19" customFormat="false" ht="15" hidden="false" customHeight="false" outlineLevel="0" collapsed="false">
      <c r="A19" s="4" t="n">
        <v>16</v>
      </c>
      <c r="B19" s="5" t="s">
        <v>419</v>
      </c>
      <c r="C19" s="4" t="s">
        <v>420</v>
      </c>
      <c r="D19" s="4" t="s">
        <v>303</v>
      </c>
    </row>
    <row r="20" customFormat="false" ht="23.85" hidden="false" customHeight="false" outlineLevel="0" collapsed="false">
      <c r="A20" s="4" t="n">
        <v>17</v>
      </c>
      <c r="B20" s="5" t="s">
        <v>421</v>
      </c>
      <c r="C20" s="4" t="s">
        <v>422</v>
      </c>
      <c r="D20" s="4" t="s">
        <v>423</v>
      </c>
    </row>
    <row r="21" customFormat="false" ht="15" hidden="false" customHeight="false" outlineLevel="0" collapsed="false">
      <c r="A21" s="4" t="n">
        <v>18</v>
      </c>
      <c r="B21" s="5" t="s">
        <v>424</v>
      </c>
      <c r="C21" s="4" t="s">
        <v>425</v>
      </c>
      <c r="D21" s="4" t="s">
        <v>426</v>
      </c>
    </row>
    <row r="22" customFormat="false" ht="23.85" hidden="false" customHeight="false" outlineLevel="0" collapsed="false">
      <c r="A22" s="4" t="n">
        <v>19</v>
      </c>
      <c r="B22" s="5" t="s">
        <v>427</v>
      </c>
      <c r="C22" s="4" t="s">
        <v>428</v>
      </c>
      <c r="D22" s="4" t="s">
        <v>429</v>
      </c>
    </row>
    <row r="23" customFormat="false" ht="15" hidden="false" customHeight="false" outlineLevel="0" collapsed="false">
      <c r="A23" s="4" t="n">
        <v>20</v>
      </c>
      <c r="B23" s="5" t="s">
        <v>430</v>
      </c>
      <c r="C23" s="4" t="s">
        <v>431</v>
      </c>
      <c r="D23" s="4" t="s">
        <v>40</v>
      </c>
    </row>
    <row r="24" customFormat="false" ht="15" hidden="false" customHeight="false" outlineLevel="0" collapsed="false">
      <c r="A24" s="4" t="n">
        <v>21</v>
      </c>
      <c r="B24" s="5" t="s">
        <v>432</v>
      </c>
      <c r="C24" s="4" t="s">
        <v>433</v>
      </c>
      <c r="D24" s="4" t="s">
        <v>193</v>
      </c>
    </row>
    <row r="25" customFormat="false" ht="15" hidden="false" customHeight="false" outlineLevel="0" collapsed="false">
      <c r="A25" s="4" t="n">
        <v>22</v>
      </c>
      <c r="B25" s="5" t="s">
        <v>434</v>
      </c>
      <c r="C25" s="4" t="s">
        <v>435</v>
      </c>
      <c r="D25" s="4" t="s">
        <v>436</v>
      </c>
    </row>
    <row r="27" customFormat="false" ht="15" hidden="false" customHeight="false" outlineLevel="0" collapsed="false">
      <c r="A27" s="7" t="s">
        <v>437</v>
      </c>
    </row>
    <row r="28" customFormat="false" ht="15" hidden="false" customHeight="false" outlineLevel="0" collapsed="false">
      <c r="B28" s="9" t="s">
        <v>438</v>
      </c>
      <c r="C28" s="9" t="s">
        <v>439</v>
      </c>
    </row>
    <row r="29" customFormat="false" ht="23.85" hidden="false" customHeight="false" outlineLevel="0" collapsed="false">
      <c r="B29" s="9" t="s">
        <v>440</v>
      </c>
      <c r="C29" s="9" t="s">
        <v>441</v>
      </c>
    </row>
    <row r="30" customFormat="false" ht="15" hidden="false" customHeight="false" outlineLevel="0" collapsed="false">
      <c r="B30" s="9" t="s">
        <v>442</v>
      </c>
      <c r="C30" s="9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444</v>
      </c>
    </row>
    <row r="3" customFormat="false" ht="15" hidden="false" customHeight="false" outlineLevel="0" collapsed="false">
      <c r="A3" s="9" t="s">
        <v>445</v>
      </c>
    </row>
    <row r="4" customFormat="false" ht="23.85" hidden="false" customHeight="false" outlineLevel="0" collapsed="false">
      <c r="A4" s="9" t="s">
        <v>446</v>
      </c>
    </row>
    <row r="5" customFormat="false" ht="23.85" hidden="false" customHeight="false" outlineLevel="0" collapsed="false">
      <c r="A5" s="9" t="s">
        <v>447</v>
      </c>
    </row>
    <row r="6" customFormat="false" ht="23.85" hidden="false" customHeight="false" outlineLevel="0" collapsed="false">
      <c r="A6" s="9" t="s">
        <v>448</v>
      </c>
    </row>
    <row r="7" customFormat="false" ht="15" hidden="false" customHeight="false" outlineLevel="0" collapsed="false">
      <c r="A7" s="9" t="s">
        <v>449</v>
      </c>
    </row>
    <row r="8" customFormat="false" ht="23.85" hidden="false" customHeight="false" outlineLevel="0" collapsed="false">
      <c r="A8" s="9" t="s">
        <v>450</v>
      </c>
    </row>
    <row r="9" customFormat="false" ht="15" hidden="false" customHeight="false" outlineLevel="0" collapsed="false">
      <c r="A9" s="9" t="s">
        <v>451</v>
      </c>
    </row>
    <row r="10" customFormat="false" ht="15" hidden="false" customHeight="false" outlineLevel="0" collapsed="false">
      <c r="A10" s="9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2026-09-30T15:55:34Z</dcterms:created>
  <dc:creator>openpyxl</dc:creator>
  <dc:description/>
  <dc:language>en-US</dc:language>
  <cp:lastModifiedBy/>
  <dcterms:modified xsi:type="dcterms:W3CDTF">2026-09-30T15:55:34Z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