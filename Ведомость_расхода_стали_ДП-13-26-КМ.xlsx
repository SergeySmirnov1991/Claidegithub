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ортамент" sheetId="1" state="visible" r:id="rId1"/>
    <sheet name="Ведомость" sheetId="2" state="visible" r:id="rId2"/>
    <sheet name="Настил и листы" sheetId="3" state="visible" r:id="rId3"/>
    <sheet name="ИТОГО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sz val="13"/>
    </font>
    <font>
      <i val="1"/>
      <sz val="10"/>
    </font>
    <font>
      <i val="1"/>
    </font>
  </fonts>
  <fills count="6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FCE4D6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7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/>
      <diagonal/>
    </border>
    <border>
      <left/>
      <right/>
      <top style="thin">
        <color rgb="00999999"/>
      </top>
      <bottom style="thin">
        <color rgb="00999999"/>
      </bottom>
      <diagonal/>
    </border>
    <border>
      <left/>
      <right style="thin">
        <color rgb="00999999"/>
      </right>
      <top style="thin">
        <color rgb="00999999"/>
      </top>
      <bottom style="thin">
        <color rgb="00999999"/>
      </bottom>
      <diagonal/>
    </border>
    <border>
      <left style="thin">
        <color rgb="00999999"/>
      </left>
      <right style="thin">
        <color rgb="00999999"/>
      </right>
      <top style="medium">
        <color rgb="00333333"/>
      </top>
      <bottom style="medium">
        <color rgb="00333333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0" fillId="3" borderId="1" pivotButton="0" quotePrefix="0" xfId="0"/>
    <xf numFmtId="2" fontId="2" fillId="3" borderId="1" pivotButton="0" quotePrefix="0" xfId="0"/>
    <xf numFmtId="0" fontId="0" fillId="3" borderId="1" applyAlignment="1" pivotButton="0" quotePrefix="0" xfId="0">
      <alignment wrapText="1"/>
    </xf>
    <xf numFmtId="0" fontId="0" fillId="0" borderId="1" pivotButton="0" quotePrefix="0" xfId="0"/>
    <xf numFmtId="2" fontId="2" fillId="0" borderId="1" pivotButton="0" quotePrefix="0" xfId="0"/>
    <xf numFmtId="0" fontId="0" fillId="0" borderId="1" applyAlignment="1" pivotButton="0" quotePrefix="0" xfId="0">
      <alignment wrapText="1"/>
    </xf>
    <xf numFmtId="0" fontId="3" fillId="0" borderId="0" pivotButton="0" quotePrefix="0" xfId="0"/>
    <xf numFmtId="0" fontId="4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4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2" fillId="0" borderId="1" pivotButton="0" quotePrefix="0" xfId="0"/>
    <xf numFmtId="2" fontId="0" fillId="0" borderId="1" pivotButton="0" quotePrefix="0" xfId="0"/>
    <xf numFmtId="3" fontId="0" fillId="0" borderId="1" pivotButton="0" quotePrefix="0" xfId="0"/>
    <xf numFmtId="0" fontId="2" fillId="3" borderId="1" pivotButton="0" quotePrefix="0" xfId="0"/>
    <xf numFmtId="2" fontId="0" fillId="3" borderId="1" pivotButton="0" quotePrefix="0" xfId="0"/>
    <xf numFmtId="3" fontId="0" fillId="3" borderId="1" pivotButton="0" quotePrefix="0" xfId="0"/>
    <xf numFmtId="0" fontId="2" fillId="5" borderId="6" pivotButton="0" quotePrefix="0" xfId="0"/>
    <xf numFmtId="2" fontId="2" fillId="5" borderId="6" pivotButton="0" quotePrefix="0" xfId="0"/>
    <xf numFmtId="3" fontId="2" fillId="5" borderId="6" pivotButton="0" quotePrefix="0" xfId="0"/>
    <xf numFmtId="0" fontId="2" fillId="2" borderId="1" applyAlignment="1" pivotButton="0" quotePrefix="0" xfId="0">
      <alignment horizontal="center" wrapText="1"/>
    </xf>
    <xf numFmtId="164" fontId="0" fillId="0" borderId="1" pivotButton="0" quotePrefix="0" xfId="0"/>
    <xf numFmtId="0" fontId="2" fillId="5" borderId="1" pivotButton="0" quotePrefix="0" xfId="0"/>
    <xf numFmtId="164" fontId="2" fillId="5" borderId="1" pivotButton="0" quotePrefix="0" xfId="0"/>
    <xf numFmtId="3" fontId="2" fillId="5" borderId="1" pivotButton="0" quotePrefix="0" xfId="0"/>
    <xf numFmtId="0" fontId="2" fillId="2" borderId="1" applyAlignment="1" pivotButton="0" quotePrefix="0" xfId="0">
      <alignment horizontal="center"/>
    </xf>
    <xf numFmtId="0" fontId="1" fillId="5" borderId="6" pivotButton="0" quotePrefix="0" xfId="0"/>
    <xf numFmtId="3" fontId="1" fillId="5" borderId="6" pivotButton="0" quotePrefix="0" xfId="0"/>
    <xf numFmtId="2" fontId="1" fillId="5" borderId="6" pivotButton="0" quotePrefix="0" xfId="0"/>
    <xf numFmtId="0" fontId="5" fillId="0" borderId="0" pivotButton="0" quotePrefix="0" xfId="0"/>
    <xf numFmtId="2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20" customWidth="1" min="3" max="3"/>
    <col width="58" customWidth="1" min="4" max="4"/>
  </cols>
  <sheetData>
    <row r="1">
      <c r="A1" s="1" t="inlineStr">
        <is>
          <t>Погонные массы проката (редактируемые — пересчитывают всю ведомость)</t>
        </is>
      </c>
    </row>
    <row r="3">
      <c r="A3" s="2" t="inlineStr">
        <is>
          <t>Профиль</t>
        </is>
      </c>
      <c r="B3" s="2" t="inlineStr">
        <is>
          <t>Нормативный документ</t>
        </is>
      </c>
      <c r="C3" s="2" t="inlineStr">
        <is>
          <t>Масса 1 м (1 м²), кг</t>
        </is>
      </c>
      <c r="D3" s="2" t="inlineStr">
        <is>
          <t>Примечание</t>
        </is>
      </c>
    </row>
    <row r="4">
      <c r="A4" s="3" t="inlineStr">
        <is>
          <t>I50Ш5</t>
        </is>
      </c>
      <c r="B4" s="3" t="inlineStr">
        <is>
          <t>ГОСТ Р 57837-2017</t>
        </is>
      </c>
      <c r="C4" s="4" t="n">
        <v>175</v>
      </c>
      <c r="D4" s="5" t="inlineStr">
        <is>
          <t>УТОЧНИТЬ по действующему сортаменту — определяющая позиция</t>
        </is>
      </c>
    </row>
    <row r="5">
      <c r="A5" s="6" t="inlineStr">
        <is>
          <t>I40Ш1</t>
        </is>
      </c>
      <c r="B5" s="6" t="inlineStr">
        <is>
          <t>ГОСТ Р 57837-2017</t>
        </is>
      </c>
      <c r="C5" s="7" t="n">
        <v>92.90000000000001</v>
      </c>
      <c r="D5" s="8" t="inlineStr"/>
    </row>
    <row r="6">
      <c r="A6" s="6" t="inlineStr">
        <is>
          <t>I30Ш1</t>
        </is>
      </c>
      <c r="B6" s="6" t="inlineStr">
        <is>
          <t>ГОСТ Р 57837-2017</t>
        </is>
      </c>
      <c r="C6" s="7" t="n">
        <v>53.6</v>
      </c>
      <c r="D6" s="8" t="inlineStr"/>
    </row>
    <row r="7">
      <c r="A7" s="6" t="inlineStr">
        <is>
          <t>I30К1</t>
        </is>
      </c>
      <c r="B7" s="6" t="inlineStr">
        <is>
          <t>ГОСТ Р 57837-2017</t>
        </is>
      </c>
      <c r="C7" s="7" t="n">
        <v>84.8</v>
      </c>
      <c r="D7" s="8" t="inlineStr"/>
    </row>
    <row r="8">
      <c r="A8" s="6" t="inlineStr">
        <is>
          <t>I25Б1</t>
        </is>
      </c>
      <c r="B8" s="6" t="inlineStr">
        <is>
          <t>ГОСТ Р 57837-2017</t>
        </is>
      </c>
      <c r="C8" s="7" t="n">
        <v>25.7</v>
      </c>
      <c r="D8" s="8" t="inlineStr"/>
    </row>
    <row r="9">
      <c r="A9" s="6" t="inlineStr">
        <is>
          <t>I25Б2</t>
        </is>
      </c>
      <c r="B9" s="6" t="inlineStr">
        <is>
          <t>ГОСТ Р 57837-2017</t>
        </is>
      </c>
      <c r="C9" s="7" t="n">
        <v>29.6</v>
      </c>
      <c r="D9" s="8" t="inlineStr"/>
    </row>
    <row r="10">
      <c r="A10" s="6" t="inlineStr">
        <is>
          <t>I16Б1</t>
        </is>
      </c>
      <c r="B10" s="6" t="inlineStr">
        <is>
          <t>ГОСТ Р 57837-2017</t>
        </is>
      </c>
      <c r="C10" s="7" t="n">
        <v>15.9</v>
      </c>
      <c r="D10" s="8" t="inlineStr"/>
    </row>
    <row r="11">
      <c r="A11" s="6" t="inlineStr">
        <is>
          <t>24П</t>
        </is>
      </c>
      <c r="B11" s="6" t="inlineStr">
        <is>
          <t>ГОСТ 8240-97</t>
        </is>
      </c>
      <c r="C11" s="7" t="n">
        <v>24</v>
      </c>
      <c r="D11" s="8" t="inlineStr"/>
    </row>
    <row r="12">
      <c r="A12" s="6" t="inlineStr">
        <is>
          <t>27П</t>
        </is>
      </c>
      <c r="B12" s="6" t="inlineStr">
        <is>
          <t>ГОСТ 8240-97</t>
        </is>
      </c>
      <c r="C12" s="7" t="n">
        <v>27.7</v>
      </c>
      <c r="D12" s="8" t="inlineStr"/>
    </row>
    <row r="13">
      <c r="A13" s="6" t="inlineStr">
        <is>
          <t>33П</t>
        </is>
      </c>
      <c r="B13" s="6" t="inlineStr">
        <is>
          <t>ГОСТ 8240-97</t>
        </is>
      </c>
      <c r="C13" s="7" t="n">
        <v>36.5</v>
      </c>
      <c r="D13" s="8" t="inlineStr"/>
    </row>
    <row r="14">
      <c r="A14" s="6" t="inlineStr">
        <is>
          <t>Тр.□180х6</t>
        </is>
      </c>
      <c r="B14" s="6" t="inlineStr">
        <is>
          <t>ГОСТ 30245-2003</t>
        </is>
      </c>
      <c r="C14" s="7" t="n">
        <v>31.52</v>
      </c>
      <c r="D14" s="8" t="inlineStr"/>
    </row>
    <row r="15">
      <c r="A15" s="6" t="inlineStr">
        <is>
          <t>Тр.□100х5</t>
        </is>
      </c>
      <c r="B15" s="6" t="inlineStr">
        <is>
          <t>ГОСТ 30245-2003</t>
        </is>
      </c>
      <c r="C15" s="7" t="n">
        <v>14.26</v>
      </c>
      <c r="D15" s="8" t="inlineStr"/>
    </row>
    <row r="16">
      <c r="A16" s="6" t="inlineStr">
        <is>
          <t>L75х6</t>
        </is>
      </c>
      <c r="B16" s="6" t="inlineStr">
        <is>
          <t>ГОСТ 8509-93</t>
        </is>
      </c>
      <c r="C16" s="7" t="n">
        <v>6.89</v>
      </c>
      <c r="D16" s="8" t="inlineStr"/>
    </row>
    <row r="17">
      <c r="A17" s="6" t="inlineStr">
        <is>
          <t>ПВЛ506</t>
        </is>
      </c>
      <c r="B17" s="6" t="inlineStr">
        <is>
          <t>ТУ 36-26.11-5-89</t>
        </is>
      </c>
      <c r="C17" s="7" t="n">
        <v>19.5</v>
      </c>
      <c r="D17" s="8" t="inlineStr">
        <is>
          <t>кг/м² настила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3" customWidth="1" min="3" max="3"/>
    <col width="11" customWidth="1" min="4" max="4"/>
    <col width="18" customWidth="1" min="5" max="5"/>
    <col width="14" customWidth="1" min="6" max="6"/>
    <col width="12" customWidth="1" min="7" max="7"/>
    <col width="12" customWidth="1" min="8" max="8"/>
    <col width="52" customWidth="1" min="9" max="9"/>
  </cols>
  <sheetData>
    <row r="1">
      <c r="A1" s="9" t="inlineStr">
        <is>
          <t>ВЕДОМОСТЬ РАСХОДА СТАЛИ — ДП-13/26-КМ</t>
        </is>
      </c>
    </row>
    <row r="2">
      <c r="A2" s="10" t="inlineStr">
        <is>
          <t>Здание пристроя для техустановки 3-й линии производства строительного гипса, р.п. Новоспасское</t>
        </is>
      </c>
    </row>
    <row r="4" ht="34" customHeight="1">
      <c r="A4" s="11" t="inlineStr">
        <is>
          <t>Уровень / группа</t>
        </is>
      </c>
      <c r="B4" s="11" t="inlineStr">
        <is>
          <t>Марка</t>
        </is>
      </c>
      <c r="C4" s="11" t="inlineStr">
        <is>
          <t>Профиль</t>
        </is>
      </c>
      <c r="D4" s="11" t="inlineStr">
        <is>
          <t>Кол-во, шт.</t>
        </is>
      </c>
      <c r="E4" s="11" t="inlineStr">
        <is>
          <t>Длина одного, м</t>
        </is>
      </c>
      <c r="F4" s="11" t="inlineStr">
        <is>
          <t>Всего длина, м</t>
        </is>
      </c>
      <c r="G4" s="11" t="inlineStr">
        <is>
          <t>Масса 1 м, кг</t>
        </is>
      </c>
      <c r="H4" s="11" t="inlineStr">
        <is>
          <t>Масса, кг</t>
        </is>
      </c>
      <c r="I4" s="11" t="inlineStr">
        <is>
          <t>Примечание</t>
        </is>
      </c>
    </row>
    <row r="5">
      <c r="A5" s="12" t="inlineStr">
        <is>
          <t>Каркас — колонны и связи</t>
        </is>
      </c>
      <c r="B5" s="13" t="n"/>
      <c r="C5" s="13" t="n"/>
      <c r="D5" s="13" t="n"/>
      <c r="E5" s="13" t="n"/>
      <c r="F5" s="13" t="n"/>
      <c r="G5" s="13" t="n"/>
      <c r="H5" s="13" t="n"/>
      <c r="I5" s="14" t="n"/>
    </row>
    <row r="6">
      <c r="A6" s="6" t="inlineStr">
        <is>
          <t>Каркас</t>
        </is>
      </c>
      <c r="B6" s="15" t="inlineStr">
        <is>
          <t>К1</t>
        </is>
      </c>
      <c r="C6" s="6" t="inlineStr">
        <is>
          <t>I50Ш5</t>
        </is>
      </c>
      <c r="D6" s="6" t="n">
        <v>11</v>
      </c>
      <c r="E6" s="6" t="inlineStr">
        <is>
          <t>13,55/14,18/15,15</t>
        </is>
      </c>
      <c r="F6" s="16" t="n">
        <v>158.31</v>
      </c>
      <c r="G6" s="16">
        <f>IFERROR(VLOOKUP("I50Ш5",Сортамент!$A$4:$C$17,3,FALSE),0)</f>
        <v/>
      </c>
      <c r="H6" s="17">
        <f>ROUND(F6*G6,0)</f>
        <v/>
      </c>
      <c r="I6" s="8" t="inlineStr">
        <is>
          <t>4×13,55 (ряд В1) + 2×14,18 (Б1) + 5×15,15 (А1); от −0,550</t>
        </is>
      </c>
    </row>
    <row r="7">
      <c r="A7" s="6" t="inlineStr">
        <is>
          <t>Каркас</t>
        </is>
      </c>
      <c r="B7" s="15" t="inlineStr">
        <is>
          <t>К2</t>
        </is>
      </c>
      <c r="C7" s="6" t="inlineStr">
        <is>
          <t>Тр.□180х6</t>
        </is>
      </c>
      <c r="D7" s="6" t="n">
        <v>3</v>
      </c>
      <c r="E7" s="6" t="inlineStr">
        <is>
          <t>13,84</t>
        </is>
      </c>
      <c r="F7" s="16" t="n">
        <v>41.52</v>
      </c>
      <c r="G7" s="16">
        <f>IFERROR(VLOOKUP("Тр.□180х6",Сортамент!$A$4:$C$17,3,FALSE),0)</f>
        <v/>
      </c>
      <c r="H7" s="17">
        <f>ROUND(F7*G7,0)</f>
        <v/>
      </c>
      <c r="I7" s="8" t="inlineStr">
        <is>
          <t>2 шт. в узле 4 (3/1×Б1) + 1 шт. 6/1 × промеж. ряд</t>
        </is>
      </c>
    </row>
    <row r="8">
      <c r="A8" s="6" t="inlineStr">
        <is>
          <t>Каркас</t>
        </is>
      </c>
      <c r="B8" s="15" t="inlineStr">
        <is>
          <t>К3</t>
        </is>
      </c>
      <c r="C8" s="6" t="inlineStr">
        <is>
          <t>I30К1</t>
        </is>
      </c>
      <c r="D8" s="6" t="n">
        <v>2</v>
      </c>
      <c r="E8" s="6" t="inlineStr">
        <is>
          <t>9,55</t>
        </is>
      </c>
      <c r="F8" s="16" t="n">
        <v>19.1</v>
      </c>
      <c r="G8" s="16">
        <f>IFERROR(VLOOKUP("I30К1",Сортамент!$A$4:$C$17,3,FALSE),0)</f>
        <v/>
      </c>
      <c r="H8" s="17">
        <f>ROUND(F8*G8,0)</f>
        <v/>
      </c>
      <c r="I8" s="8" t="inlineStr">
        <is>
          <t>4/1 и 5/1 промеж. ряда, до отм. +9,000</t>
        </is>
      </c>
    </row>
    <row r="9">
      <c r="A9" s="6" t="inlineStr">
        <is>
          <t>Каркас</t>
        </is>
      </c>
      <c r="B9" s="15" t="inlineStr">
        <is>
          <t>К4</t>
        </is>
      </c>
      <c r="C9" s="6" t="inlineStr">
        <is>
          <t>Тр.□180х6</t>
        </is>
      </c>
      <c r="D9" s="6" t="n">
        <v>5</v>
      </c>
      <c r="E9" s="6" t="inlineStr">
        <is>
          <t>6,55 / 9,55</t>
        </is>
      </c>
      <c r="F9" s="16" t="n">
        <v>35.75</v>
      </c>
      <c r="G9" s="16">
        <f>IFERROR(VLOOKUP("Тр.□180х6",Сортамент!$A$4:$C$17,3,FALSE),0)</f>
        <v/>
      </c>
      <c r="H9" s="17">
        <f>ROUND(F9*G9,0)</f>
        <v/>
      </c>
      <c r="I9" s="8" t="inlineStr">
        <is>
          <t>4 шт. в левом блоке (высота принята) + 1 шт. на x≈22050</t>
        </is>
      </c>
    </row>
    <row r="10">
      <c r="A10" s="6" t="inlineStr">
        <is>
          <t>Каркас</t>
        </is>
      </c>
      <c r="B10" s="15" t="inlineStr">
        <is>
          <t>ВС1</t>
        </is>
      </c>
      <c r="C10" s="6" t="inlineStr">
        <is>
          <t>Тр.□100х5</t>
        </is>
      </c>
      <c r="D10" s="6" t="n">
        <v>16</v>
      </c>
      <c r="E10" s="6" t="inlineStr">
        <is>
          <t>4,77…10,33</t>
        </is>
      </c>
      <c r="F10" s="16" t="n">
        <v>114.6</v>
      </c>
      <c r="G10" s="16">
        <f>IFERROR(VLOOKUP("Тр.□100х5",Сортамент!$A$4:$C$17,3,FALSE),0)</f>
        <v/>
      </c>
      <c r="H10" s="17">
        <f>ROUND(F10*G10,0)</f>
        <v/>
      </c>
      <c r="I10" s="8" t="inlineStr">
        <is>
          <t>верт. связи: разрез 1-1 (2 панели), 2-2 (2), 3-3 (4)</t>
        </is>
      </c>
    </row>
    <row r="11">
      <c r="A11" s="6" t="inlineStr">
        <is>
          <t>Каркас</t>
        </is>
      </c>
      <c r="B11" s="15" t="inlineStr">
        <is>
          <t>ГС1</t>
        </is>
      </c>
      <c r="C11" s="6" t="inlineStr">
        <is>
          <t>Тр.□100х5</t>
        </is>
      </c>
      <c r="D11" s="6" t="n">
        <v>12</v>
      </c>
      <c r="E11" s="6" t="inlineStr">
        <is>
          <t>3,78…4,29</t>
        </is>
      </c>
      <c r="F11" s="16" t="n">
        <v>49</v>
      </c>
      <c r="G11" s="16">
        <f>IFERROR(VLOOKUP("Тр.□100х5",Сортамент!$A$4:$C$17,3,FALSE),0)</f>
        <v/>
      </c>
      <c r="H11" s="17">
        <f>ROUND(F11*G11,0)</f>
        <v/>
      </c>
      <c r="I11" s="8" t="inlineStr">
        <is>
          <t>гориз. связи покрытия: 1/1-2/1, 3/1-4/1, 5/1-6/1</t>
        </is>
      </c>
    </row>
    <row r="12">
      <c r="A12" s="3" t="inlineStr">
        <is>
          <t>Каркас</t>
        </is>
      </c>
      <c r="B12" s="18" t="inlineStr">
        <is>
          <t>Р1</t>
        </is>
      </c>
      <c r="C12" s="3" t="inlineStr">
        <is>
          <t>Тр.□100х5</t>
        </is>
      </c>
      <c r="D12" s="3" t="n">
        <v>10</v>
      </c>
      <c r="E12" s="3" t="inlineStr">
        <is>
          <t>2,60…6,15</t>
        </is>
      </c>
      <c r="F12" s="19" t="n">
        <v>69</v>
      </c>
      <c r="G12" s="19">
        <f>IFERROR(VLOOKUP("Тр.□100х5",Сортамент!$A$4:$C$17,3,FALSE),0)</f>
        <v/>
      </c>
      <c r="H12" s="20">
        <f>ROUND(F12*G12,0)</f>
        <v/>
      </c>
      <c r="I12" s="5" t="inlineStr">
        <is>
          <t>ПРОФИЛЬ НЕ УКАЗАН в ведомости элементов — принят условно</t>
        </is>
      </c>
    </row>
    <row r="13">
      <c r="A13" s="12" t="inlineStr">
        <is>
          <t>Перекрытие отм. +3,000 (лист 3)</t>
        </is>
      </c>
      <c r="B13" s="13" t="n"/>
      <c r="C13" s="13" t="n"/>
      <c r="D13" s="13" t="n"/>
      <c r="E13" s="13" t="n"/>
      <c r="F13" s="13" t="n"/>
      <c r="G13" s="13" t="n"/>
      <c r="H13" s="13" t="n"/>
      <c r="I13" s="14" t="n"/>
    </row>
    <row r="14">
      <c r="A14" s="6" t="inlineStr">
        <is>
          <t>+3.000</t>
        </is>
      </c>
      <c r="B14" s="15" t="inlineStr">
        <is>
          <t>Бп1.1</t>
        </is>
      </c>
      <c r="C14" s="6" t="inlineStr">
        <is>
          <t>24П</t>
        </is>
      </c>
      <c r="D14" s="6" t="n">
        <v>10</v>
      </c>
      <c r="E14" s="6" t="inlineStr">
        <is>
          <t>4,03…4,97</t>
        </is>
      </c>
      <c r="F14" s="16" t="n">
        <v>45.1</v>
      </c>
      <c r="G14" s="16">
        <f>IFERROR(VLOOKUP("24П",Сортамент!$A$4:$C$17,3,FALSE),0)</f>
        <v/>
      </c>
      <c r="H14" s="17">
        <f>ROUND(F14*G14,0)</f>
        <v/>
      </c>
      <c r="I14" s="8" t="inlineStr">
        <is>
          <t>2 балки по краю + 7 прогонов + 1 по оси 4/1</t>
        </is>
      </c>
    </row>
    <row r="15">
      <c r="A15" s="6" t="inlineStr">
        <is>
          <t>+3.000</t>
        </is>
      </c>
      <c r="B15" s="15" t="inlineStr">
        <is>
          <t>Бп1.2</t>
        </is>
      </c>
      <c r="C15" s="6" t="inlineStr">
        <is>
          <t>27П</t>
        </is>
      </c>
      <c r="D15" s="6" t="n">
        <v>1</v>
      </c>
      <c r="E15" s="6" t="inlineStr">
        <is>
          <t>9,19</t>
        </is>
      </c>
      <c r="F15" s="16" t="n">
        <v>9.19</v>
      </c>
      <c r="G15" s="16">
        <f>IFERROR(VLOOKUP("27П",Сортамент!$A$4:$C$17,3,FALSE),0)</f>
        <v/>
      </c>
      <c r="H15" s="17">
        <f>ROUND(F15*G15,0)</f>
        <v/>
      </c>
      <c r="I15" s="8" t="inlineStr">
        <is>
          <t>по оси А1, 2/1–4/1</t>
        </is>
      </c>
    </row>
    <row r="16">
      <c r="A16" s="6" t="inlineStr">
        <is>
          <t>+3.000</t>
        </is>
      </c>
      <c r="B16" s="15" t="inlineStr">
        <is>
          <t>а</t>
        </is>
      </c>
      <c r="C16" s="6" t="inlineStr">
        <is>
          <t>L75х6</t>
        </is>
      </c>
      <c r="D16" s="6" t="n">
        <v>24</v>
      </c>
      <c r="E16" s="6" t="inlineStr">
        <is>
          <t>1,31</t>
        </is>
      </c>
      <c r="F16" s="16" t="n">
        <v>31.32</v>
      </c>
      <c r="G16" s="16">
        <f>IFERROR(VLOOKUP("L75х6",Сортамент!$A$4:$C$17,3,FALSE),0)</f>
        <v/>
      </c>
      <c r="H16" s="17">
        <f>ROUND(F16*G16,0)</f>
        <v/>
      </c>
      <c r="I16" s="8" t="inlineStr">
        <is>
          <t>сетка 4 ряда × 6 шт.</t>
        </is>
      </c>
    </row>
    <row r="17">
      <c r="A17" s="12" t="inlineStr">
        <is>
          <t>Перекрытие отм. +6,000 (лист 4)</t>
        </is>
      </c>
      <c r="B17" s="13" t="n"/>
      <c r="C17" s="13" t="n"/>
      <c r="D17" s="13" t="n"/>
      <c r="E17" s="13" t="n"/>
      <c r="F17" s="13" t="n"/>
      <c r="G17" s="13" t="n"/>
      <c r="H17" s="13" t="n"/>
      <c r="I17" s="14" t="n"/>
    </row>
    <row r="18">
      <c r="A18" s="6" t="inlineStr">
        <is>
          <t>+6.000</t>
        </is>
      </c>
      <c r="B18" s="15" t="inlineStr">
        <is>
          <t>Бп2.1</t>
        </is>
      </c>
      <c r="C18" s="6" t="inlineStr">
        <is>
          <t>I25Б1</t>
        </is>
      </c>
      <c r="D18" s="6" t="n">
        <v>5</v>
      </c>
      <c r="E18" s="6" t="inlineStr">
        <is>
          <t>2,60…4,40</t>
        </is>
      </c>
      <c r="F18" s="16" t="n">
        <v>21.41</v>
      </c>
      <c r="G18" s="16">
        <f>IFERROR(VLOOKUP("I25Б1",Сортамент!$A$4:$C$17,3,FALSE),0)</f>
        <v/>
      </c>
      <c r="H18" s="17">
        <f>ROUND(F18*G18,0)</f>
        <v/>
      </c>
      <c r="I18" s="8" t="inlineStr">
        <is>
          <t>по В1 (4/1-6/1), по 4/1 и 6/1, по А1 (5/1-6/1)</t>
        </is>
      </c>
    </row>
    <row r="19">
      <c r="A19" s="6" t="inlineStr">
        <is>
          <t>+6.000</t>
        </is>
      </c>
      <c r="B19" s="15" t="inlineStr">
        <is>
          <t>Бп2.2</t>
        </is>
      </c>
      <c r="C19" s="6" t="inlineStr">
        <is>
          <t>I30Ш1</t>
        </is>
      </c>
      <c r="D19" s="6" t="n">
        <v>4</v>
      </c>
      <c r="E19" s="6" t="inlineStr">
        <is>
          <t>3,70 / 3,71</t>
        </is>
      </c>
      <c r="F19" s="16" t="n">
        <v>14.82</v>
      </c>
      <c r="G19" s="16">
        <f>IFERROR(VLOOKUP("I30Ш1",Сортамент!$A$4:$C$17,3,FALSE),0)</f>
        <v/>
      </c>
      <c r="H19" s="17">
        <f>ROUND(F19*G19,0)</f>
        <v/>
      </c>
      <c r="I19" s="8" t="inlineStr">
        <is>
          <t>промеж. ряд и ось А1 (4/1-5/1), стойки 4/1 и 5/1</t>
        </is>
      </c>
    </row>
    <row r="20">
      <c r="A20" s="6" t="inlineStr">
        <is>
          <t>+6.000</t>
        </is>
      </c>
      <c r="B20" s="15" t="inlineStr">
        <is>
          <t>Бп2.3</t>
        </is>
      </c>
      <c r="C20" s="6" t="inlineStr">
        <is>
          <t>I25Б2</t>
        </is>
      </c>
      <c r="D20" s="6" t="n">
        <v>6</v>
      </c>
      <c r="E20" s="6" t="inlineStr">
        <is>
          <t>4,57…9,19</t>
        </is>
      </c>
      <c r="F20" s="16" t="n">
        <v>36.78</v>
      </c>
      <c r="G20" s="16">
        <f>IFERROR(VLOOKUP("I25Б2",Сортамент!$A$4:$C$17,3,FALSE),0)</f>
        <v/>
      </c>
      <c r="H20" s="17">
        <f>ROUND(F20*G20,0)</f>
        <v/>
      </c>
      <c r="I20" s="8" t="inlineStr">
        <is>
          <t>3 продольные (2/1-4/1) + 2 поперечные</t>
        </is>
      </c>
    </row>
    <row r="21">
      <c r="A21" s="6" t="inlineStr">
        <is>
          <t>+6.000</t>
        </is>
      </c>
      <c r="B21" s="15" t="inlineStr">
        <is>
          <t>Бп2.4</t>
        </is>
      </c>
      <c r="C21" s="6" t="inlineStr">
        <is>
          <t>I16Б1</t>
        </is>
      </c>
      <c r="D21" s="6" t="n">
        <v>11</v>
      </c>
      <c r="E21" s="6" t="inlineStr">
        <is>
          <t>2,60 / 3,70</t>
        </is>
      </c>
      <c r="F21" s="16" t="n">
        <v>33</v>
      </c>
      <c r="G21" s="16">
        <f>IFERROR(VLOOKUP("I16Б1",Сортамент!$A$4:$C$17,3,FALSE),0)</f>
        <v/>
      </c>
      <c r="H21" s="17">
        <f>ROUND(F21*G21,0)</f>
        <v/>
      </c>
      <c r="I21" s="8" t="inlineStr">
        <is>
          <t>8 шт. верхняя зона + 3 шт. нижняя зона</t>
        </is>
      </c>
    </row>
    <row r="22">
      <c r="A22" s="6" t="inlineStr">
        <is>
          <t>+6.000</t>
        </is>
      </c>
      <c r="B22" s="15" t="inlineStr">
        <is>
          <t>Бп4.1</t>
        </is>
      </c>
      <c r="C22" s="6" t="inlineStr">
        <is>
          <t>33П</t>
        </is>
      </c>
      <c r="D22" s="6" t="n">
        <v>2</v>
      </c>
      <c r="E22" s="6" t="inlineStr">
        <is>
          <t>8,39</t>
        </is>
      </c>
      <c r="F22" s="16" t="n">
        <v>16.78</v>
      </c>
      <c r="G22" s="16">
        <f>IFERROR(VLOOKUP("33П",Сортамент!$A$4:$C$17,3,FALSE),0)</f>
        <v/>
      </c>
      <c r="H22" s="17">
        <f>ROUND(F22*G22,0)</f>
        <v/>
      </c>
      <c r="I22" s="8" t="inlineStr">
        <is>
          <t>главные балки 2/1 – x≈26230</t>
        </is>
      </c>
    </row>
    <row r="23">
      <c r="A23" s="6" t="inlineStr">
        <is>
          <t>+6.000</t>
        </is>
      </c>
      <c r="B23" s="15" t="inlineStr">
        <is>
          <t>Б2</t>
        </is>
      </c>
      <c r="C23" s="6" t="inlineStr">
        <is>
          <t>I40Ш1</t>
        </is>
      </c>
      <c r="D23" s="6" t="n">
        <v>2</v>
      </c>
      <c r="E23" s="6" t="inlineStr">
        <is>
          <t>4,40 / 2,60</t>
        </is>
      </c>
      <c r="F23" s="16" t="n">
        <v>7</v>
      </c>
      <c r="G23" s="16">
        <f>IFERROR(VLOOKUP("I40Ш1",Сортамент!$A$4:$C$17,3,FALSE),0)</f>
        <v/>
      </c>
      <c r="H23" s="17">
        <f>ROUND(F23*G23,0)</f>
        <v/>
      </c>
      <c r="I23" s="8" t="inlineStr">
        <is>
          <t>стойка по 5/1 и балка промеж. ряда 5/1-6/1</t>
        </is>
      </c>
    </row>
    <row r="24">
      <c r="A24" s="6" t="inlineStr">
        <is>
          <t>+6.000</t>
        </is>
      </c>
      <c r="B24" s="15" t="inlineStr">
        <is>
          <t>а</t>
        </is>
      </c>
      <c r="C24" s="6" t="inlineStr">
        <is>
          <t>L75х6</t>
        </is>
      </c>
      <c r="D24" s="6" t="n">
        <v>13</v>
      </c>
      <c r="E24" s="6" t="inlineStr">
        <is>
          <t>0,73 / 1,56</t>
        </is>
      </c>
      <c r="F24" s="16" t="n">
        <v>16.96</v>
      </c>
      <c r="G24" s="16">
        <f>IFERROR(VLOOKUP("L75х6",Сортамент!$A$4:$C$17,3,FALSE),0)</f>
        <v/>
      </c>
      <c r="H24" s="17">
        <f>ROUND(F24*G24,0)</f>
        <v/>
      </c>
      <c r="I24" s="8" t="inlineStr">
        <is>
          <t>9 шт. × 1,56 + 4 шт. × 0,73</t>
        </is>
      </c>
    </row>
    <row r="25">
      <c r="A25" s="12" t="inlineStr">
        <is>
          <t>Перекрытие отм. +9,000 (лист 5)</t>
        </is>
      </c>
      <c r="B25" s="13" t="n"/>
      <c r="C25" s="13" t="n"/>
      <c r="D25" s="13" t="n"/>
      <c r="E25" s="13" t="n"/>
      <c r="F25" s="13" t="n"/>
      <c r="G25" s="13" t="n"/>
      <c r="H25" s="13" t="n"/>
      <c r="I25" s="14" t="n"/>
    </row>
    <row r="26">
      <c r="A26" s="6" t="inlineStr">
        <is>
          <t>+9.000</t>
        </is>
      </c>
      <c r="B26" s="15" t="inlineStr">
        <is>
          <t>Бп3.1</t>
        </is>
      </c>
      <c r="C26" s="6" t="inlineStr">
        <is>
          <t>I25Б1</t>
        </is>
      </c>
      <c r="D26" s="6" t="n">
        <v>24</v>
      </c>
      <c r="E26" s="6" t="inlineStr">
        <is>
          <t>1,11…4,64</t>
        </is>
      </c>
      <c r="F26" s="16" t="n">
        <v>64.98999999999999</v>
      </c>
      <c r="G26" s="16">
        <f>IFERROR(VLOOKUP("I25Б1",Сортамент!$A$4:$C$17,3,FALSE),0)</f>
        <v/>
      </c>
      <c r="H26" s="17">
        <f>ROUND(F26*G26,0)</f>
        <v/>
      </c>
      <c r="I26" s="8" t="inlineStr">
        <is>
          <t>основные балки правого блока + стойки по 4/1, 5/1, 6/1</t>
        </is>
      </c>
    </row>
    <row r="27">
      <c r="A27" s="6" t="inlineStr">
        <is>
          <t>+9.000</t>
        </is>
      </c>
      <c r="B27" s="15" t="inlineStr">
        <is>
          <t>Бп3.2</t>
        </is>
      </c>
      <c r="C27" s="6" t="inlineStr">
        <is>
          <t>24П</t>
        </is>
      </c>
      <c r="D27" s="6" t="n">
        <v>5</v>
      </c>
      <c r="E27" s="6" t="inlineStr">
        <is>
          <t>4,57…9,19</t>
        </is>
      </c>
      <c r="F27" s="16" t="n">
        <v>31.23</v>
      </c>
      <c r="G27" s="16">
        <f>IFERROR(VLOOKUP("24П",Сортамент!$A$4:$C$17,3,FALSE),0)</f>
        <v/>
      </c>
      <c r="H27" s="17">
        <f>ROUND(F27*G27,0)</f>
        <v/>
      </c>
      <c r="I27" s="8" t="inlineStr">
        <is>
          <t>балки левой площадки и по оси А1</t>
        </is>
      </c>
    </row>
    <row r="28">
      <c r="A28" s="6" t="inlineStr">
        <is>
          <t>+9.000</t>
        </is>
      </c>
      <c r="B28" s="15" t="inlineStr">
        <is>
          <t>Бп3.3</t>
        </is>
      </c>
      <c r="C28" s="6" t="inlineStr">
        <is>
          <t>I16Б1</t>
        </is>
      </c>
      <c r="D28" s="6" t="n">
        <v>13</v>
      </c>
      <c r="E28" s="6" t="inlineStr">
        <is>
          <t>1,06…3,71</t>
        </is>
      </c>
      <c r="F28" s="16" t="n">
        <v>31.62</v>
      </c>
      <c r="G28" s="16">
        <f>IFERROR(VLOOKUP("I16Б1",Сортамент!$A$4:$C$17,3,FALSE),0)</f>
        <v/>
      </c>
      <c r="H28" s="17">
        <f>ROUND(F28*G28,0)</f>
        <v/>
      </c>
      <c r="I28" s="8" t="inlineStr">
        <is>
          <t>второстепенные балки правого блока</t>
        </is>
      </c>
    </row>
    <row r="29">
      <c r="A29" s="3" t="inlineStr">
        <is>
          <t>+9.000</t>
        </is>
      </c>
      <c r="B29" s="18" t="inlineStr">
        <is>
          <t>Б3</t>
        </is>
      </c>
      <c r="C29" s="3" t="inlineStr">
        <is>
          <t>I40Ш1</t>
        </is>
      </c>
      <c r="D29" s="3" t="n">
        <v>1</v>
      </c>
      <c r="E29" s="3" t="inlineStr">
        <is>
          <t>9,19</t>
        </is>
      </c>
      <c r="F29" s="19" t="n">
        <v>9.19</v>
      </c>
      <c r="G29" s="19">
        <f>IFERROR(VLOOKUP("I40Ш1",Сортамент!$A$4:$C$17,3,FALSE),0)</f>
        <v/>
      </c>
      <c r="H29" s="20">
        <f>ROUND(F29*G29,0)</f>
        <v/>
      </c>
      <c r="I29" s="5" t="inlineStr">
        <is>
          <t>ПРОФИЛЬ НЕ УКАЗАН в ведомости элементов — принят условно</t>
        </is>
      </c>
    </row>
    <row r="30">
      <c r="A30" s="6" t="inlineStr">
        <is>
          <t>+9.000</t>
        </is>
      </c>
      <c r="B30" s="15" t="inlineStr">
        <is>
          <t>а</t>
        </is>
      </c>
      <c r="C30" s="6" t="inlineStr">
        <is>
          <t>L75х6</t>
        </is>
      </c>
      <c r="D30" s="6" t="n">
        <v>22</v>
      </c>
      <c r="E30" s="6" t="inlineStr">
        <is>
          <t>0,37 / 0,73 / 1,77</t>
        </is>
      </c>
      <c r="F30" s="16" t="n">
        <v>22.13</v>
      </c>
      <c r="G30" s="16">
        <f>IFERROR(VLOOKUP("L75х6",Сортамент!$A$4:$C$17,3,FALSE),0)</f>
        <v/>
      </c>
      <c r="H30" s="17">
        <f>ROUND(F30*G30,0)</f>
        <v/>
      </c>
      <c r="I30" s="8" t="inlineStr">
        <is>
          <t>9+9 шт. в левой площадке + 4 шт. у оси 4/1</t>
        </is>
      </c>
    </row>
    <row r="31">
      <c r="A31" s="12" t="inlineStr">
        <is>
          <t>Покрытие (лист 6)</t>
        </is>
      </c>
      <c r="B31" s="13" t="n"/>
      <c r="C31" s="13" t="n"/>
      <c r="D31" s="13" t="n"/>
      <c r="E31" s="13" t="n"/>
      <c r="F31" s="13" t="n"/>
      <c r="G31" s="13" t="n"/>
      <c r="H31" s="13" t="n"/>
      <c r="I31" s="14" t="n"/>
    </row>
    <row r="32">
      <c r="A32" s="6" t="inlineStr">
        <is>
          <t>Покрытие</t>
        </is>
      </c>
      <c r="B32" s="15" t="inlineStr">
        <is>
          <t>Пр1</t>
        </is>
      </c>
      <c r="C32" s="6" t="inlineStr">
        <is>
          <t>24П</t>
        </is>
      </c>
      <c r="D32" s="6" t="n">
        <v>9</v>
      </c>
      <c r="E32" s="6" t="inlineStr">
        <is>
          <t>9,56 / 22,00</t>
        </is>
      </c>
      <c r="F32" s="16" t="n">
        <v>173.12</v>
      </c>
      <c r="G32" s="16">
        <f>IFERROR(VLOOKUP("24П",Сортамент!$A$4:$C$17,3,FALSE),0)</f>
        <v/>
      </c>
      <c r="H32" s="17">
        <f>ROUND(F32*G32,0)</f>
        <v/>
      </c>
      <c r="I32" s="8" t="inlineStr">
        <is>
          <t>9 рядов прогонов: 2 ряда 3/1-6/1 + 7 рядов 1/1-6/1</t>
        </is>
      </c>
    </row>
    <row r="33">
      <c r="A33" s="6" t="inlineStr">
        <is>
          <t>Покрытие</t>
        </is>
      </c>
      <c r="B33" s="15" t="inlineStr">
        <is>
          <t>Б1</t>
        </is>
      </c>
      <c r="C33" s="6" t="inlineStr">
        <is>
          <t>I40Ш1</t>
        </is>
      </c>
      <c r="D33" s="6" t="n">
        <v>6</v>
      </c>
      <c r="E33" s="6" t="inlineStr">
        <is>
          <t>4,64…7,78</t>
        </is>
      </c>
      <c r="F33" s="16" t="n">
        <v>39.98</v>
      </c>
      <c r="G33" s="16">
        <f>IFERROR(VLOOKUP("I40Ш1",Сортамент!$A$4:$C$17,3,FALSE),0)</f>
        <v/>
      </c>
      <c r="H33" s="17">
        <f>ROUND(F33*G33,0)</f>
        <v/>
      </c>
      <c r="I33" s="8" t="inlineStr">
        <is>
          <t>балки покрытия по осям 1/1…6/1</t>
        </is>
      </c>
    </row>
    <row r="34">
      <c r="A34" s="6" t="inlineStr">
        <is>
          <t>Покрытие</t>
        </is>
      </c>
      <c r="B34" s="15" t="inlineStr">
        <is>
          <t>Б2</t>
        </is>
      </c>
      <c r="C34" s="6" t="inlineStr">
        <is>
          <t>I40Ш1</t>
        </is>
      </c>
      <c r="D34" s="6" t="n">
        <v>1</v>
      </c>
      <c r="E34" s="6" t="inlineStr">
        <is>
          <t>9,18</t>
        </is>
      </c>
      <c r="F34" s="16" t="n">
        <v>9.18</v>
      </c>
      <c r="G34" s="16">
        <f>IFERROR(VLOOKUP("I40Ш1",Сортамент!$A$4:$C$17,3,FALSE),0)</f>
        <v/>
      </c>
      <c r="H34" s="17">
        <f>ROUND(F34*G34,0)</f>
        <v/>
      </c>
      <c r="I34" s="8" t="inlineStr">
        <is>
          <t>балка покрытия по оси А1, 2/1–4/1</t>
        </is>
      </c>
    </row>
    <row r="35">
      <c r="A35" s="21" t="inlineStr">
        <is>
          <t>ИТОГО прокат</t>
        </is>
      </c>
      <c r="B35" s="21" t="n"/>
      <c r="C35" s="21" t="n"/>
      <c r="D35" s="21" t="n"/>
      <c r="E35" s="21" t="n"/>
      <c r="F35" s="22">
        <f>ROUND(SUM(F6:F34),2)</f>
        <v/>
      </c>
      <c r="G35" s="21" t="n"/>
      <c r="H35" s="23">
        <f>ROUND(SUM(H6:H34),0)</f>
        <v/>
      </c>
      <c r="I35" s="21" t="n"/>
    </row>
  </sheetData>
  <mergeCells count="5">
    <mergeCell ref="A25:I25"/>
    <mergeCell ref="A5:I5"/>
    <mergeCell ref="A13:I13"/>
    <mergeCell ref="A17:I17"/>
    <mergeCell ref="A31:I3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4" customWidth="1" min="3" max="3"/>
    <col width="46" customWidth="1" min="4" max="4"/>
    <col width="10" customWidth="1" min="5" max="5"/>
    <col width="14" customWidth="1" min="6" max="6"/>
  </cols>
  <sheetData>
    <row r="1">
      <c r="A1" s="1" t="inlineStr">
        <is>
          <t>Настил ПВЛ506 (Ст3сп, ТУ 36-26.11-5-89) и листовая сталь баз колонн</t>
        </is>
      </c>
    </row>
    <row r="3">
      <c r="A3" s="24" t="inlineStr">
        <is>
          <t>Марка</t>
        </is>
      </c>
      <c r="B3" s="24" t="inlineStr">
        <is>
          <t>Отметка</t>
        </is>
      </c>
      <c r="C3" s="24" t="inlineStr">
        <is>
          <t>Площадь, м²</t>
        </is>
      </c>
      <c r="D3" s="24" t="inlineStr">
        <is>
          <t>Масса 1 м², кг</t>
        </is>
      </c>
      <c r="E3" s="24" t="inlineStr">
        <is>
          <t>Масса, кг</t>
        </is>
      </c>
      <c r="F3" s="24" t="inlineStr">
        <is>
          <t>Примечание</t>
        </is>
      </c>
    </row>
    <row r="4">
      <c r="A4" s="6" t="inlineStr">
        <is>
          <t>Н1</t>
        </is>
      </c>
      <c r="B4" s="6" t="inlineStr">
        <is>
          <t>+3,000</t>
        </is>
      </c>
      <c r="C4" s="25" t="n">
        <v>39.4</v>
      </c>
      <c r="D4" s="16">
        <f>IFERROR(VLOOKUP("ПВЛ506",Сортамент!$A$4:$C$17,3,FALSE),0)</f>
        <v/>
      </c>
      <c r="E4" s="17">
        <f>ROUND(C4*D4,0)</f>
        <v/>
      </c>
      <c r="F4" s="8" t="inlineStr">
        <is>
          <t>(6090+2305)×4695 — по размерам листа 3</t>
        </is>
      </c>
    </row>
    <row r="5">
      <c r="A5" s="6" t="inlineStr">
        <is>
          <t>Н2</t>
        </is>
      </c>
      <c r="B5" s="6" t="inlineStr">
        <is>
          <t>+6,000</t>
        </is>
      </c>
      <c r="C5" s="25" t="n">
        <v>56.9</v>
      </c>
      <c r="D5" s="16">
        <f>IFERROR(VLOOKUP("ПВЛ506",Сортамент!$A$4:$C$17,3,FALSE),0)</f>
        <v/>
      </c>
      <c r="E5" s="17">
        <f>ROUND(C5*D5,0)</f>
        <v/>
      </c>
      <c r="F5" s="8" t="inlineStr">
        <is>
          <t>8305×1695 + правый блок за вычетом проёма 3610×3655</t>
        </is>
      </c>
    </row>
    <row r="6">
      <c r="A6" s="6" t="inlineStr">
        <is>
          <t>Н3</t>
        </is>
      </c>
      <c r="B6" s="6" t="inlineStr">
        <is>
          <t>+9,000</t>
        </is>
      </c>
      <c r="C6" s="25" t="n">
        <v>67.5</v>
      </c>
      <c r="D6" s="16">
        <f>IFERROR(VLOOKUP("ПВЛ506",Сортамент!$A$4:$C$17,3,FALSE),0)</f>
        <v/>
      </c>
      <c r="E6" s="17">
        <f>ROUND(C6*D6,0)</f>
        <v/>
      </c>
      <c r="F6" s="8" t="inlineStr">
        <is>
          <t>6300×8155 за вычетом проёмов + левая площадка</t>
        </is>
      </c>
    </row>
    <row r="7">
      <c r="A7" s="26" t="inlineStr">
        <is>
          <t>ИТОГО настил</t>
        </is>
      </c>
      <c r="B7" s="26" t="n"/>
      <c r="C7" s="27">
        <f>SUM(C4:C6)</f>
        <v/>
      </c>
      <c r="D7" s="26" t="n"/>
      <c r="E7" s="28">
        <f>SUM(E4:E6)</f>
        <v/>
      </c>
      <c r="F7" s="26" t="n"/>
    </row>
    <row r="10">
      <c r="A10" s="1" t="inlineStr">
        <is>
          <t>Базы колонн (узлы 1–5, лист 8)</t>
        </is>
      </c>
    </row>
    <row r="11">
      <c r="A11" s="24" t="inlineStr">
        <is>
          <t>Узел</t>
        </is>
      </c>
      <c r="B11" s="24" t="inlineStr">
        <is>
          <t>Колонна</t>
        </is>
      </c>
      <c r="C11" s="24" t="inlineStr">
        <is>
          <t>Опорная плита</t>
        </is>
      </c>
      <c r="D11" s="24" t="inlineStr">
        <is>
          <t>Рёбра / шайбы</t>
        </is>
      </c>
      <c r="E11" s="24" t="inlineStr">
        <is>
          <t>Кол-во</t>
        </is>
      </c>
      <c r="F11" s="24" t="inlineStr">
        <is>
          <t>Масса, кг</t>
        </is>
      </c>
    </row>
    <row r="12">
      <c r="A12" s="6" t="inlineStr">
        <is>
          <t>1 / 2</t>
        </is>
      </c>
      <c r="B12" s="6" t="inlineStr">
        <is>
          <t>К1</t>
        </is>
      </c>
      <c r="C12" s="6" t="inlineStr">
        <is>
          <t>−20 665×740 / 665×820</t>
        </is>
      </c>
      <c r="D12" s="8" t="inlineStr">
        <is>
          <t>−12 740(820)×250 ×2; −12 170×250 ×2; −16 80×80 ×4</t>
        </is>
      </c>
      <c r="E12" s="6" t="n">
        <v>11</v>
      </c>
      <c r="F12" s="17" t="n">
        <v>1419</v>
      </c>
    </row>
    <row r="13">
      <c r="A13" s="6" t="inlineStr">
        <is>
          <t>3</t>
        </is>
      </c>
      <c r="B13" s="6" t="inlineStr">
        <is>
          <t>К2, К4</t>
        </is>
      </c>
      <c r="C13" s="6" t="inlineStr">
        <is>
          <t>−20 420×420</t>
        </is>
      </c>
      <c r="D13" s="8" t="inlineStr">
        <is>
          <t>−12 120×200 ×4; −16 80×80 ×4</t>
        </is>
      </c>
      <c r="E13" s="6" t="n">
        <v>6</v>
      </c>
      <c r="F13" s="17" t="n">
        <v>240</v>
      </c>
    </row>
    <row r="14">
      <c r="A14" s="6" t="inlineStr">
        <is>
          <t>4</t>
        </is>
      </c>
      <c r="B14" s="6" t="inlineStr">
        <is>
          <t>К2 (2 шт. на плите)</t>
        </is>
      </c>
      <c r="C14" s="6" t="inlineStr">
        <is>
          <t>−20 750×750</t>
        </is>
      </c>
      <c r="D14" s="8" t="inlineStr">
        <is>
          <t>−12 120×200 ×8; −16 80×80 ×4</t>
        </is>
      </c>
      <c r="E14" s="6" t="n">
        <v>1</v>
      </c>
      <c r="F14" s="17" t="n">
        <v>110</v>
      </c>
    </row>
    <row r="15">
      <c r="A15" s="6" t="inlineStr">
        <is>
          <t>5</t>
        </is>
      </c>
      <c r="B15" s="6" t="inlineStr">
        <is>
          <t>К3</t>
        </is>
      </c>
      <c r="C15" s="6" t="inlineStr">
        <is>
          <t>−20 700×700</t>
        </is>
      </c>
      <c r="D15" s="8" t="inlineStr">
        <is>
          <t>−12 700×250 ×2; −12 190×250 ×2; −16 80×80 ×4</t>
        </is>
      </c>
      <c r="E15" s="6" t="n">
        <v>2</v>
      </c>
      <c r="F15" s="17" t="n">
        <v>244</v>
      </c>
    </row>
    <row r="16">
      <c r="A16" s="26" t="inlineStr">
        <is>
          <t>ИТОГО базы</t>
        </is>
      </c>
      <c r="B16" s="26" t="n"/>
      <c r="C16" s="26" t="n"/>
      <c r="D16" s="26" t="n"/>
      <c r="E16" s="26" t="n"/>
      <c r="F16" s="28">
        <f>SUM(F12:F15)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62" customWidth="1" min="1" max="1"/>
    <col width="16" customWidth="1" min="2" max="2"/>
    <col width="14" customWidth="1" min="3" max="3"/>
  </cols>
  <sheetData>
    <row r="1">
      <c r="A1" s="9" t="inlineStr">
        <is>
          <t>СВОДКА ПО РАЗДЕЛУ КМ (ДП-13/26-КМ)</t>
        </is>
      </c>
    </row>
    <row r="3">
      <c r="A3" s="29" t="inlineStr">
        <is>
          <t>Позиция</t>
        </is>
      </c>
      <c r="B3" s="29" t="inlineStr">
        <is>
          <t>Масса, кг</t>
        </is>
      </c>
      <c r="C3" s="29" t="inlineStr">
        <is>
          <t>Масса, т</t>
        </is>
      </c>
    </row>
    <row r="4">
      <c r="A4" s="6" t="inlineStr">
        <is>
          <t>Прокат (колонны, балки, прогоны, связи)</t>
        </is>
      </c>
      <c r="B4" s="17">
        <f>Ведомость!H35</f>
        <v/>
      </c>
      <c r="C4" s="16">
        <f>ROUND(B4/1000,2)</f>
        <v/>
      </c>
    </row>
    <row r="5">
      <c r="A5" s="6" t="inlineStr">
        <is>
          <t>Базы колонн (листовая сталь −12/−16/−20)</t>
        </is>
      </c>
      <c r="B5" s="17">
        <f>'Настил и листы'!F16</f>
        <v/>
      </c>
      <c r="C5" s="16">
        <f>ROUND(B5/1000,2)</f>
        <v/>
      </c>
    </row>
    <row r="6">
      <c r="A6" s="6" t="inlineStr">
        <is>
          <t>Фасонки, накладки, опорные столики, рёбра — 4 % от проката</t>
        </is>
      </c>
      <c r="B6" s="17">
        <f>ROUND(0.04*Ведомость!H35,0)</f>
        <v/>
      </c>
      <c r="C6" s="16">
        <f>ROUND(B6/1000,2)</f>
        <v/>
      </c>
    </row>
    <row r="7">
      <c r="A7" s="6" t="inlineStr">
        <is>
          <t>Настил ПВЛ506</t>
        </is>
      </c>
      <c r="B7" s="17">
        <f>'Настил и листы'!E7</f>
        <v/>
      </c>
      <c r="C7" s="16">
        <f>ROUND(B7/1000,2)</f>
        <v/>
      </c>
    </row>
    <row r="8">
      <c r="A8" s="30" t="inlineStr">
        <is>
          <t>ВСЕГО металлоконструкций</t>
        </is>
      </c>
      <c r="B8" s="31">
        <f>SUM(B4:B7)</f>
        <v/>
      </c>
      <c r="C8" s="32">
        <f>ROUND(B8/1000,2)</f>
        <v/>
      </c>
    </row>
    <row r="10">
      <c r="A10" s="33" t="inlineStr">
        <is>
          <t>в т.ч. сталь С255-4</t>
        </is>
      </c>
      <c r="C10" s="34">
        <f>ROUND((B4+B5+B6)/1000,2)</f>
        <v/>
      </c>
    </row>
    <row r="11">
      <c r="A11" s="33" t="inlineStr">
        <is>
          <t>в т.ч. Ст3сп (настил)</t>
        </is>
      </c>
      <c r="C11" s="34">
        <f>ROUND(B7/1000,2)</f>
        <v/>
      </c>
    </row>
    <row r="13">
      <c r="A13" s="35" t="inlineStr">
        <is>
          <t>ЗАМЕЧАНИЯ К ЧЕРТЕЖАМ:</t>
        </is>
      </c>
    </row>
    <row r="14">
      <c r="A14" t="inlineStr">
        <is>
          <t>1. Марка Б3 (балка по Б1 на отм.+9,000, 9,19 м) отсутствует в «Ведомости элементов» листа 2 — принят I40Ш1 условно.</t>
        </is>
      </c>
    </row>
    <row r="15">
      <c r="A15" t="inlineStr">
        <is>
          <t>2. Марка Р1 (распорки в плоскостях связей, ≈69 м) отсутствует в «Ведомости элементов» — принята Тр.□100х5 условно.</t>
        </is>
      </c>
    </row>
    <row r="16">
      <c r="A16" t="inlineStr">
        <is>
          <t>3. Высота 4 шт. колонн К4 в левом блоке по листам 2–7 не определяется — принята 6,55 м (от −0,550 до +6,000).</t>
        </is>
      </c>
    </row>
    <row r="17">
      <c r="A17" t="inlineStr">
        <is>
          <t>4. Погонная масса I50Ш5 (более половины тоннажа) принята 175 кг/м — сверить с действующим сортаментом до заказа.</t>
        </is>
      </c>
    </row>
    <row r="18">
      <c r="A18" t="inlineStr">
        <is>
          <t>5. Не учтено: анкерные болты и закладные (к-т КЖ), монтажные болты, сварочные материалы, окраска, панели, лестницы.</t>
        </is>
      </c>
    </row>
    <row r="19">
      <c r="A19" t="inlineStr">
        <is>
          <t>6. Длины сняты по векторной геометрии чертежей (М 1:100) между осями/точками опирания; погрешность ≈ ±0,5 %.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2026-09-18T20:53:10Z</dcterms:created>
  <dcterms:modified xsi:type="dcterms:W3CDTF">2026-09-18T20:53:10Z</dcterms:modified>
</cp:coreProperties>
</file>