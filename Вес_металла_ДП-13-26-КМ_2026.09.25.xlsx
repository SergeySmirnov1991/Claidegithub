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По сортаменту" sheetId="1" state="visible" r:id="rId1"/>
    <sheet name="2. По использованию" sheetId="2" state="visible" r:id="rId2"/>
    <sheet name="3. Матрица" sheetId="3" state="visible" r:id="rId3"/>
    <sheet name="4. Контро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4" fontId="2" fillId="4" borderId="1" pivotButton="0" quotePrefix="0" xfId="0"/>
    <xf numFmtId="165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9" customWidth="1" min="4" max="4"/>
    <col width="13" customWidth="1" min="5" max="5"/>
    <col width="10" customWidth="1" min="6" max="6"/>
  </cols>
  <sheetData>
    <row r="1">
      <c r="A1" s="1" t="inlineStr">
        <is>
          <t>ТАБЛИЦА 1. ВЕС МЕТАЛЛА ПО СОРТАМЕНТУ</t>
        </is>
      </c>
    </row>
    <row r="2">
      <c r="A2" t="inlineStr">
        <is>
          <t>ДП-13/26-КМ, ред. 2026.09.25 · лист 2 «Спецификация основных элементов металлопроката» · массы в тоннах</t>
        </is>
      </c>
    </row>
    <row r="4">
      <c r="A4" s="2" t="inlineStr">
        <is>
          <t>№</t>
        </is>
      </c>
      <c r="B4" s="2" t="inlineStr">
        <is>
          <t>Профиль</t>
        </is>
      </c>
      <c r="C4" s="2" t="inlineStr">
        <is>
          <t>ГОСТ / ТУ</t>
        </is>
      </c>
      <c r="D4" s="2" t="inlineStr">
        <is>
          <t>Сталь</t>
        </is>
      </c>
      <c r="E4" s="2" t="inlineStr">
        <is>
          <t>Масса, т</t>
        </is>
      </c>
      <c r="F4" s="2" t="inlineStr">
        <is>
          <t>Доля</t>
        </is>
      </c>
    </row>
    <row r="5">
      <c r="A5" s="3" t="n"/>
      <c r="B5" s="4" t="inlineStr">
        <is>
          <t>Двутавры</t>
        </is>
      </c>
      <c r="C5" s="4" t="inlineStr">
        <is>
          <t>ГОСТ Р 57837-2017</t>
        </is>
      </c>
      <c r="D5" s="3" t="n"/>
      <c r="E5" s="5">
        <f>SUM(E6:E12)</f>
        <v/>
      </c>
      <c r="F5" s="6">
        <f>E5/$E$34</f>
        <v/>
      </c>
    </row>
    <row r="6">
      <c r="A6" s="7" t="n">
        <v>1</v>
      </c>
      <c r="B6" s="7" t="inlineStr">
        <is>
          <t>I 50Ш5</t>
        </is>
      </c>
      <c r="C6" s="7" t="inlineStr">
        <is>
          <t>ГОСТ Р 57837-2017</t>
        </is>
      </c>
      <c r="D6" s="7" t="inlineStr">
        <is>
          <t>С255</t>
        </is>
      </c>
      <c r="E6" s="8" t="n">
        <v>33.458</v>
      </c>
      <c r="F6" s="9">
        <f>E6/$E$34</f>
        <v/>
      </c>
    </row>
    <row r="7">
      <c r="A7" s="7" t="n">
        <v>2</v>
      </c>
      <c r="B7" s="7" t="inlineStr">
        <is>
          <t>I 40Ш1</t>
        </is>
      </c>
      <c r="C7" s="7" t="inlineStr">
        <is>
          <t>ГОСТ Р 57837-2017</t>
        </is>
      </c>
      <c r="D7" s="7" t="inlineStr">
        <is>
          <t>С255</t>
        </is>
      </c>
      <c r="E7" s="8" t="n">
        <v>4.465</v>
      </c>
      <c r="F7" s="9">
        <f>E7/$E$34</f>
        <v/>
      </c>
    </row>
    <row r="8">
      <c r="A8" s="7" t="n">
        <v>3</v>
      </c>
      <c r="B8" s="7" t="inlineStr">
        <is>
          <t>I 30Ш1</t>
        </is>
      </c>
      <c r="C8" s="7" t="inlineStr">
        <is>
          <t>ГОСТ Р 57837-2017</t>
        </is>
      </c>
      <c r="D8" s="7" t="inlineStr">
        <is>
          <t>С255</t>
        </is>
      </c>
      <c r="E8" s="8" t="n">
        <v>0.841</v>
      </c>
      <c r="F8" s="9">
        <f>E8/$E$34</f>
        <v/>
      </c>
    </row>
    <row r="9">
      <c r="A9" s="7" t="n">
        <v>4</v>
      </c>
      <c r="B9" s="7" t="inlineStr">
        <is>
          <t>I 30К1</t>
        </is>
      </c>
      <c r="C9" s="7" t="inlineStr">
        <is>
          <t>ГОСТ Р 57837-2017</t>
        </is>
      </c>
      <c r="D9" s="7" t="inlineStr">
        <is>
          <t>С255</t>
        </is>
      </c>
      <c r="E9" s="8" t="n">
        <v>1.67</v>
      </c>
      <c r="F9" s="9">
        <f>E9/$E$34</f>
        <v/>
      </c>
    </row>
    <row r="10">
      <c r="A10" s="7" t="n">
        <v>5</v>
      </c>
      <c r="B10" s="7" t="inlineStr">
        <is>
          <t>I 25Б2</t>
        </is>
      </c>
      <c r="C10" s="7" t="inlineStr">
        <is>
          <t>ГОСТ Р 57837-2017</t>
        </is>
      </c>
      <c r="D10" s="7" t="inlineStr">
        <is>
          <t>С255</t>
        </is>
      </c>
      <c r="E10" s="8" t="n">
        <v>1.053</v>
      </c>
      <c r="F10" s="9">
        <f>E10/$E$34</f>
        <v/>
      </c>
    </row>
    <row r="11">
      <c r="A11" s="7" t="n">
        <v>6</v>
      </c>
      <c r="B11" s="7" t="inlineStr">
        <is>
          <t>I 25Б1</t>
        </is>
      </c>
      <c r="C11" s="7" t="inlineStr">
        <is>
          <t>ГОСТ Р 57837-2017</t>
        </is>
      </c>
      <c r="D11" s="7" t="inlineStr">
        <is>
          <t>С255</t>
        </is>
      </c>
      <c r="E11" s="8" t="n">
        <v>2.801</v>
      </c>
      <c r="F11" s="9">
        <f>E11/$E$34</f>
        <v/>
      </c>
    </row>
    <row r="12">
      <c r="A12" s="7" t="n">
        <v>7</v>
      </c>
      <c r="B12" s="7" t="inlineStr">
        <is>
          <t>I 16Б1</t>
        </is>
      </c>
      <c r="C12" s="7" t="inlineStr">
        <is>
          <t>ГОСТ Р 57837-2017</t>
        </is>
      </c>
      <c r="D12" s="7" t="inlineStr">
        <is>
          <t>С255</t>
        </is>
      </c>
      <c r="E12" s="8" t="n">
        <v>0.825</v>
      </c>
      <c r="F12" s="9">
        <f>E12/$E$34</f>
        <v/>
      </c>
    </row>
    <row r="13">
      <c r="A13" s="3" t="n"/>
      <c r="B13" s="4" t="inlineStr">
        <is>
          <t>Гнутые замкнутые профили</t>
        </is>
      </c>
      <c r="C13" s="4" t="inlineStr">
        <is>
          <t>ГОСТ 30245-2003</t>
        </is>
      </c>
      <c r="D13" s="3" t="n"/>
      <c r="E13" s="5">
        <f>SUM(E14:E15)</f>
        <v/>
      </c>
      <c r="F13" s="6">
        <f>E13/$E$34</f>
        <v/>
      </c>
    </row>
    <row r="14">
      <c r="A14" s="7" t="n">
        <v>8</v>
      </c>
      <c r="B14" s="7" t="inlineStr">
        <is>
          <t>Тр.□180×7</t>
        </is>
      </c>
      <c r="C14" s="7" t="inlineStr">
        <is>
          <t>ГОСТ 30245-2003</t>
        </is>
      </c>
      <c r="D14" s="7" t="inlineStr">
        <is>
          <t>С255</t>
        </is>
      </c>
      <c r="E14" s="8" t="n">
        <v>3.061</v>
      </c>
      <c r="F14" s="9">
        <f>E14/$E$34</f>
        <v/>
      </c>
    </row>
    <row r="15">
      <c r="A15" s="7" t="n">
        <v>9</v>
      </c>
      <c r="B15" s="7" t="inlineStr">
        <is>
          <t>Тр.□100×5</t>
        </is>
      </c>
      <c r="C15" s="7" t="inlineStr">
        <is>
          <t>ГОСТ 30245-2003</t>
        </is>
      </c>
      <c r="D15" s="7" t="inlineStr">
        <is>
          <t>С255</t>
        </is>
      </c>
      <c r="E15" s="8" t="n">
        <v>3.615</v>
      </c>
      <c r="F15" s="9">
        <f>E15/$E$34</f>
        <v/>
      </c>
    </row>
    <row r="16">
      <c r="A16" s="3" t="n"/>
      <c r="B16" s="4" t="inlineStr">
        <is>
          <t>Швеллеры</t>
        </is>
      </c>
      <c r="C16" s="4" t="inlineStr">
        <is>
          <t>ГОСТ 8240-97</t>
        </is>
      </c>
      <c r="D16" s="3" t="n"/>
      <c r="E16" s="5">
        <f>SUM(E17:E19)</f>
        <v/>
      </c>
      <c r="F16" s="6">
        <f>E16/$E$34</f>
        <v/>
      </c>
    </row>
    <row r="17">
      <c r="A17" s="7" t="n">
        <v>10</v>
      </c>
      <c r="B17" s="7" t="inlineStr">
        <is>
          <t>[ 33П</t>
        </is>
      </c>
      <c r="C17" s="7" t="inlineStr">
        <is>
          <t>ГОСТ 8240-97</t>
        </is>
      </c>
      <c r="D17" s="7" t="inlineStr">
        <is>
          <t>С255</t>
        </is>
      </c>
      <c r="E17" s="8" t="n">
        <v>0.621</v>
      </c>
      <c r="F17" s="9">
        <f>E17/$E$34</f>
        <v/>
      </c>
    </row>
    <row r="18">
      <c r="A18" s="7" t="n">
        <v>11</v>
      </c>
      <c r="B18" s="7" t="inlineStr">
        <is>
          <t>[ 27П</t>
        </is>
      </c>
      <c r="C18" s="7" t="inlineStr">
        <is>
          <t>ГОСТ 8240-97</t>
        </is>
      </c>
      <c r="D18" s="7" t="inlineStr">
        <is>
          <t>С255</t>
        </is>
      </c>
      <c r="E18" s="8" t="n">
        <v>0.253</v>
      </c>
      <c r="F18" s="9">
        <f>E18/$E$34</f>
        <v/>
      </c>
    </row>
    <row r="19">
      <c r="A19" s="7" t="n">
        <v>12</v>
      </c>
      <c r="B19" s="7" t="inlineStr">
        <is>
          <t>[ 24П</t>
        </is>
      </c>
      <c r="C19" s="7" t="inlineStr">
        <is>
          <t>ГОСТ 8240-97</t>
        </is>
      </c>
      <c r="D19" s="7" t="inlineStr">
        <is>
          <t>С255</t>
        </is>
      </c>
      <c r="E19" s="8" t="n">
        <v>5.752</v>
      </c>
      <c r="F19" s="9">
        <f>E19/$E$34</f>
        <v/>
      </c>
    </row>
    <row r="20">
      <c r="A20" s="3" t="n"/>
      <c r="B20" s="4" t="inlineStr">
        <is>
          <t>Листовой прокат</t>
        </is>
      </c>
      <c r="C20" s="4" t="inlineStr">
        <is>
          <t>ГОСТ 19903-2015</t>
        </is>
      </c>
      <c r="D20" s="3" t="n"/>
      <c r="E20" s="5">
        <f>SUM(E21:E27)</f>
        <v/>
      </c>
      <c r="F20" s="6">
        <f>E20/$E$34</f>
        <v/>
      </c>
    </row>
    <row r="21">
      <c r="A21" s="7" t="n">
        <v>13</v>
      </c>
      <c r="B21" s="7" t="inlineStr">
        <is>
          <t>– 30</t>
        </is>
      </c>
      <c r="C21" s="7" t="inlineStr">
        <is>
          <t>ГОСТ 19903-2015</t>
        </is>
      </c>
      <c r="D21" s="7" t="inlineStr">
        <is>
          <t>С255</t>
        </is>
      </c>
      <c r="E21" s="8" t="n">
        <v>0.104</v>
      </c>
      <c r="F21" s="9">
        <f>E21/$E$34</f>
        <v/>
      </c>
    </row>
    <row r="22">
      <c r="A22" s="7" t="n">
        <v>14</v>
      </c>
      <c r="B22" s="7" t="inlineStr">
        <is>
          <t>– 20</t>
        </is>
      </c>
      <c r="C22" s="7" t="inlineStr">
        <is>
          <t>ГОСТ 19903-2015</t>
        </is>
      </c>
      <c r="D22" s="7" t="inlineStr">
        <is>
          <t>С255</t>
        </is>
      </c>
      <c r="E22" s="8" t="n">
        <v>1.537</v>
      </c>
      <c r="F22" s="9">
        <f>E22/$E$34</f>
        <v/>
      </c>
    </row>
    <row r="23">
      <c r="A23" s="7" t="n">
        <v>15</v>
      </c>
      <c r="B23" s="7" t="inlineStr">
        <is>
          <t>– 16</t>
        </is>
      </c>
      <c r="C23" s="7" t="inlineStr">
        <is>
          <t>ГОСТ 19903-2015</t>
        </is>
      </c>
      <c r="D23" s="7" t="inlineStr">
        <is>
          <t>С255</t>
        </is>
      </c>
      <c r="E23" s="8" t="n">
        <v>0.067</v>
      </c>
      <c r="F23" s="9">
        <f>E23/$E$34</f>
        <v/>
      </c>
    </row>
    <row r="24">
      <c r="A24" s="7" t="n">
        <v>16</v>
      </c>
      <c r="B24" s="7" t="inlineStr">
        <is>
          <t>– 12</t>
        </is>
      </c>
      <c r="C24" s="7" t="inlineStr">
        <is>
          <t>ГОСТ 19903-2015</t>
        </is>
      </c>
      <c r="D24" s="7" t="inlineStr">
        <is>
          <t>С255</t>
        </is>
      </c>
      <c r="E24" s="8" t="n">
        <v>1.563</v>
      </c>
      <c r="F24" s="9">
        <f>E24/$E$34</f>
        <v/>
      </c>
    </row>
    <row r="25">
      <c r="A25" s="7" t="n">
        <v>17</v>
      </c>
      <c r="B25" s="7" t="inlineStr">
        <is>
          <t>– 10</t>
        </is>
      </c>
      <c r="C25" s="7" t="inlineStr">
        <is>
          <t>ГОСТ 19903-2015</t>
        </is>
      </c>
      <c r="D25" s="7" t="inlineStr">
        <is>
          <t>С255</t>
        </is>
      </c>
      <c r="E25" s="8" t="n">
        <v>1.876</v>
      </c>
      <c r="F25" s="9">
        <f>E25/$E$34</f>
        <v/>
      </c>
    </row>
    <row r="26">
      <c r="A26" s="7" t="n">
        <v>18</v>
      </c>
      <c r="B26" s="7" t="inlineStr">
        <is>
          <t>– 8</t>
        </is>
      </c>
      <c r="C26" s="7" t="inlineStr">
        <is>
          <t>ГОСТ 19903-2015</t>
        </is>
      </c>
      <c r="D26" s="7" t="inlineStr">
        <is>
          <t>С255</t>
        </is>
      </c>
      <c r="E26" s="8" t="n">
        <v>0.711</v>
      </c>
      <c r="F26" s="9">
        <f>E26/$E$34</f>
        <v/>
      </c>
    </row>
    <row r="27">
      <c r="A27" s="7" t="n">
        <v>19</v>
      </c>
      <c r="B27" s="7" t="inlineStr">
        <is>
          <t>– 4</t>
        </is>
      </c>
      <c r="C27" s="7" t="inlineStr">
        <is>
          <t>ГОСТ 19903-2015</t>
        </is>
      </c>
      <c r="D27" s="7" t="inlineStr">
        <is>
          <t>С255</t>
        </is>
      </c>
      <c r="E27" s="8" t="n">
        <v>0.048</v>
      </c>
      <c r="F27" s="9">
        <f>E27/$E$34</f>
        <v/>
      </c>
    </row>
    <row r="28">
      <c r="A28" s="3" t="n"/>
      <c r="B28" s="4" t="inlineStr">
        <is>
          <t>Просечно-вытяжной лист</t>
        </is>
      </c>
      <c r="C28" s="4" t="inlineStr">
        <is>
          <t>ТУ 36.26.11-5-89</t>
        </is>
      </c>
      <c r="D28" s="3" t="n"/>
      <c r="E28" s="5">
        <f>SUM(E29:E29)</f>
        <v/>
      </c>
      <c r="F28" s="6">
        <f>E28/$E$34</f>
        <v/>
      </c>
    </row>
    <row r="29">
      <c r="A29" s="7" t="n">
        <v>20</v>
      </c>
      <c r="B29" s="7" t="inlineStr">
        <is>
          <t>ПВЛ506</t>
        </is>
      </c>
      <c r="C29" s="7" t="inlineStr">
        <is>
          <t>ТУ 36.26.11-5-89</t>
        </is>
      </c>
      <c r="D29" s="7" t="inlineStr">
        <is>
          <t>—</t>
        </is>
      </c>
      <c r="E29" s="8" t="n">
        <v>2.763</v>
      </c>
      <c r="F29" s="9">
        <f>E29/$E$34</f>
        <v/>
      </c>
    </row>
    <row r="30">
      <c r="A30" s="3" t="n"/>
      <c r="B30" s="4" t="inlineStr">
        <is>
          <t>Уголки</t>
        </is>
      </c>
      <c r="C30" s="4" t="inlineStr">
        <is>
          <t>ГОСТ 8509-93</t>
        </is>
      </c>
      <c r="D30" s="3" t="n"/>
      <c r="E30" s="5">
        <f>SUM(E31:E33)</f>
        <v/>
      </c>
      <c r="F30" s="6">
        <f>E30/$E$34</f>
        <v/>
      </c>
    </row>
    <row r="31">
      <c r="A31" s="7" t="n">
        <v>21</v>
      </c>
      <c r="B31" s="7" t="inlineStr">
        <is>
          <t>L 125×8</t>
        </is>
      </c>
      <c r="C31" s="7" t="inlineStr">
        <is>
          <t>ГОСТ 8509-93</t>
        </is>
      </c>
      <c r="D31" s="7" t="inlineStr">
        <is>
          <t>С255</t>
        </is>
      </c>
      <c r="E31" s="8" t="n">
        <v>0.094</v>
      </c>
      <c r="F31" s="9">
        <f>E31/$E$34</f>
        <v/>
      </c>
    </row>
    <row r="32">
      <c r="A32" s="7" t="n">
        <v>22</v>
      </c>
      <c r="B32" s="7" t="inlineStr">
        <is>
          <t>L 100×7</t>
        </is>
      </c>
      <c r="C32" s="7" t="inlineStr">
        <is>
          <t>ГОСТ 8509-93</t>
        </is>
      </c>
      <c r="D32" s="7" t="inlineStr">
        <is>
          <t>С255</t>
        </is>
      </c>
      <c r="E32" s="8" t="n">
        <v>0.047</v>
      </c>
      <c r="F32" s="9">
        <f>E32/$E$34</f>
        <v/>
      </c>
    </row>
    <row r="33">
      <c r="A33" s="7" t="n">
        <v>23</v>
      </c>
      <c r="B33" s="7" t="inlineStr">
        <is>
          <t>L 75×6</t>
        </is>
      </c>
      <c r="C33" s="7" t="inlineStr">
        <is>
          <t>ГОСТ 8509-93</t>
        </is>
      </c>
      <c r="D33" s="7" t="inlineStr">
        <is>
          <t>С255</t>
        </is>
      </c>
      <c r="E33" s="8" t="n">
        <v>0.529</v>
      </c>
      <c r="F33" s="9">
        <f>E33/$E$34</f>
        <v/>
      </c>
    </row>
    <row r="34">
      <c r="A34" s="10" t="n"/>
      <c r="B34" s="11" t="inlineStr">
        <is>
          <t>ВСЕГО масса металла</t>
        </is>
      </c>
      <c r="C34" s="10" t="n"/>
      <c r="D34" s="10" t="n"/>
      <c r="E34" s="12">
        <f>E5+E13+E16+E20+E28+E30</f>
        <v/>
      </c>
      <c r="F34" s="13">
        <f>E34/$E$34</f>
        <v/>
      </c>
    </row>
    <row r="35">
      <c r="A35" s="10" t="n"/>
      <c r="B35" s="11" t="inlineStr">
        <is>
          <t>с учётом наплавляемого металла 1 %</t>
        </is>
      </c>
      <c r="C35" s="10" t="n"/>
      <c r="D35" s="10" t="n"/>
      <c r="E35" s="12">
        <f>E34*1.01</f>
        <v/>
      </c>
      <c r="F35" s="13">
        <f>E35/$E$34</f>
        <v/>
      </c>
    </row>
    <row r="36">
      <c r="A36" s="10" t="n"/>
      <c r="B36" s="11" t="inlineStr">
        <is>
          <t>с учётом на разработку КМД 3 %</t>
        </is>
      </c>
      <c r="C36" s="10" t="n"/>
      <c r="D36" s="10" t="n"/>
      <c r="E36" s="12">
        <f>E35*1.03</f>
        <v/>
      </c>
      <c r="F36" s="13">
        <f>E36/$E$34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0" customWidth="1" min="4" max="4"/>
    <col width="80" customWidth="1" min="5" max="5"/>
  </cols>
  <sheetData>
    <row r="1">
      <c r="A1" s="1" t="inlineStr">
        <is>
          <t>ТАБЛИЦА 2. ВЕС МЕТАЛЛА ПО ИСПОЛЬЗОВАНИЮ</t>
        </is>
      </c>
    </row>
    <row r="2">
      <c r="A2" t="inlineStr">
        <is>
          <t>ДП-13/26-КМ, ред. 2026.09.25 · лист 2 «Спецификация основных элементов металлопроката» · массы в тоннах</t>
        </is>
      </c>
    </row>
    <row r="4">
      <c r="A4" s="2" t="inlineStr">
        <is>
          <t>№</t>
        </is>
      </c>
      <c r="B4" s="2" t="inlineStr">
        <is>
          <t>Назначение</t>
        </is>
      </c>
      <c r="C4" s="2" t="inlineStr">
        <is>
          <t>Масса, т</t>
        </is>
      </c>
      <c r="D4" s="2" t="inlineStr">
        <is>
          <t>Доля</t>
        </is>
      </c>
      <c r="E4" s="2" t="inlineStr">
        <is>
          <t>Основной сортамент</t>
        </is>
      </c>
    </row>
    <row r="5">
      <c r="A5" s="7" t="n">
        <v>1</v>
      </c>
      <c r="B5" s="7" t="inlineStr">
        <is>
          <t>Колонны</t>
        </is>
      </c>
      <c r="C5" s="8" t="n">
        <v>42.18</v>
      </c>
      <c r="D5" s="9">
        <f>C5/$C$13</f>
        <v/>
      </c>
      <c r="E5" s="14" t="inlineStr">
        <is>
          <t>I 50Ш5 — 33,458, Тр.□180×7 — 3,061, I 30К1 — 1,670, – 12 — 1,543, – 20 — 1,308, – 10 — 0,805, – 30 — 0,104, L 125×8 — 0,094, – 16 — 0,067, L 100×7 — 0,047, – 8 — 0,023</t>
        </is>
      </c>
    </row>
    <row r="6">
      <c r="A6" s="7" t="n">
        <v>2</v>
      </c>
      <c r="B6" s="7" t="inlineStr">
        <is>
          <t>Балки +3.000</t>
        </is>
      </c>
      <c r="C6" s="8" t="n">
        <v>2.265</v>
      </c>
      <c r="D6" s="9">
        <f>C6/$C$13</f>
        <v/>
      </c>
      <c r="E6" s="14" t="inlineStr">
        <is>
          <t>[ 24П — 1,072, ПВЛ506 — 0,656, [ 27П — 0,253, L 75×6 — 0,230, – 10 — 0,054</t>
        </is>
      </c>
    </row>
    <row r="7">
      <c r="A7" s="7" t="n">
        <v>3</v>
      </c>
      <c r="B7" s="7" t="inlineStr">
        <is>
          <t>Балки +6.000</t>
        </is>
      </c>
      <c r="C7" s="8" t="n">
        <v>4.862</v>
      </c>
      <c r="D7" s="9">
        <f>C7/$C$13</f>
        <v/>
      </c>
      <c r="E7" s="14" t="inlineStr">
        <is>
          <t>I 25Б2 — 1,053, ПВЛ506 — 0,959, I 30Ш1 — 0,841, I 25Б1 — 0,694, [ 33П — 0,621, I 16Б1 — 0,419, – 10 — 0,150, L 75×6 — 0,125</t>
        </is>
      </c>
    </row>
    <row r="8">
      <c r="A8" s="7" t="n">
        <v>4</v>
      </c>
      <c r="B8" s="7" t="inlineStr">
        <is>
          <t>Балки +9.000</t>
        </is>
      </c>
      <c r="C8" s="8" t="n">
        <v>4.487</v>
      </c>
      <c r="D8" s="9">
        <f>C8/$C$13</f>
        <v/>
      </c>
      <c r="E8" s="14" t="inlineStr">
        <is>
          <t>I 25Б1 — 2,107, ПВЛ506 — 1,148, [ 24П — 0,528, I 16Б1 — 0,406, L 75×6 — 0,169, – 10 — 0,129</t>
        </is>
      </c>
    </row>
    <row r="9">
      <c r="A9" s="7" t="n">
        <v>5</v>
      </c>
      <c r="B9" s="7" t="inlineStr">
        <is>
          <t>Балки покрытия</t>
        </is>
      </c>
      <c r="C9" s="8" t="n">
        <v>5.129</v>
      </c>
      <c r="D9" s="9">
        <f>C9/$C$13</f>
        <v/>
      </c>
      <c r="E9" s="14" t="inlineStr">
        <is>
          <t>I 40Ш1 — 4,465, – 10 — 0,410, – 20 — 0,229, – 12 — 0,020, L 75×6 — 0,005</t>
        </is>
      </c>
    </row>
    <row r="10">
      <c r="A10" s="7" t="n">
        <v>6</v>
      </c>
      <c r="B10" s="7" t="inlineStr">
        <is>
          <t>Прогоны</t>
        </is>
      </c>
      <c r="C10" s="8" t="n">
        <v>4.782</v>
      </c>
      <c r="D10" s="9">
        <f>C10/$C$13</f>
        <v/>
      </c>
      <c r="E10" s="14" t="inlineStr">
        <is>
          <t>[ 24П — 4,152, – 8 — 0,360, – 10 — 0,270</t>
        </is>
      </c>
    </row>
    <row r="11">
      <c r="A11" s="7" t="n">
        <v>7</v>
      </c>
      <c r="B11" s="7" t="inlineStr">
        <is>
          <t>Связи вертикальные</t>
        </is>
      </c>
      <c r="C11" s="8" t="n">
        <v>3.028</v>
      </c>
      <c r="D11" s="9">
        <f>C11/$C$13</f>
        <v/>
      </c>
      <c r="E11" s="14" t="inlineStr">
        <is>
          <t>Тр.□100×5 — 2,799, – 8 — 0,186, – 10 — 0,039, – 4 — 0,004</t>
        </is>
      </c>
    </row>
    <row r="12">
      <c r="A12" s="7" t="n">
        <v>8</v>
      </c>
      <c r="B12" s="7" t="inlineStr">
        <is>
          <t>Связи горизонтальные</t>
        </is>
      </c>
      <c r="C12" s="8" t="n">
        <v>1.021</v>
      </c>
      <c r="D12" s="9">
        <f>C12/$C$13</f>
        <v/>
      </c>
      <c r="E12" s="14" t="inlineStr">
        <is>
          <t>Тр.□100×5 — 0,816, – 8 — 0,142, – 4 — 0,044, – 10 — 0,019</t>
        </is>
      </c>
    </row>
    <row r="13">
      <c r="A13" s="10" t="n"/>
      <c r="B13" s="11" t="inlineStr">
        <is>
          <t>ВСЕГО масса металла</t>
        </is>
      </c>
      <c r="C13" s="12">
        <f>SUM(C5:C12)</f>
        <v/>
      </c>
      <c r="D13" s="13">
        <f>C13/$C$13</f>
        <v/>
      </c>
      <c r="E13" s="10" t="n"/>
    </row>
    <row r="14">
      <c r="A14" s="10" t="n"/>
      <c r="B14" s="11" t="inlineStr">
        <is>
          <t>с учётом наплавляемого металла 1 %</t>
        </is>
      </c>
      <c r="C14" s="12">
        <f>C13*1.01</f>
        <v/>
      </c>
      <c r="D14" s="10" t="n"/>
      <c r="E14" s="10" t="n"/>
    </row>
    <row r="15">
      <c r="A15" s="10" t="n"/>
      <c r="B15" s="11" t="inlineStr">
        <is>
          <t>с учётом на разработку КМД 3 %</t>
        </is>
      </c>
      <c r="C15" s="12">
        <f>C14*1.03</f>
        <v/>
      </c>
      <c r="D15" s="10" t="n"/>
      <c r="E15" s="10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СОРТАМЕНТ × ИСПОЛЬЗОВАНИЕ</t>
        </is>
      </c>
    </row>
    <row r="2">
      <c r="A2" t="inlineStr">
        <is>
          <t>ДП-13/26-КМ, ред. 2026.09.25 · лист 2 «Спецификация основных элементов металлопроката» · массы в тоннах</t>
        </is>
      </c>
    </row>
    <row r="4">
      <c r="A4" s="2" t="inlineStr">
        <is>
          <t>Профиль</t>
        </is>
      </c>
      <c r="B4" s="2" t="inlineStr">
        <is>
          <t>Колонны</t>
        </is>
      </c>
      <c r="C4" s="2" t="inlineStr">
        <is>
          <t>Балки +3.000</t>
        </is>
      </c>
      <c r="D4" s="2" t="inlineStr">
        <is>
          <t>Балки +6.000</t>
        </is>
      </c>
      <c r="E4" s="2" t="inlineStr">
        <is>
          <t>Балки +9.000</t>
        </is>
      </c>
      <c r="F4" s="2" t="inlineStr">
        <is>
          <t>Балки покрытия</t>
        </is>
      </c>
      <c r="G4" s="2" t="inlineStr">
        <is>
          <t>Прогоны</t>
        </is>
      </c>
      <c r="H4" s="2" t="inlineStr">
        <is>
          <t>Связи вертикальные</t>
        </is>
      </c>
      <c r="I4" s="2" t="inlineStr">
        <is>
          <t>Связи горизонтальные</t>
        </is>
      </c>
      <c r="J4" s="2" t="inlineStr">
        <is>
          <t>Всего</t>
        </is>
      </c>
    </row>
    <row r="5">
      <c r="A5" s="4" t="inlineStr">
        <is>
          <t>Двутавры — ГОСТ Р 57837-2017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7" t="inlineStr">
        <is>
          <t>I 50Ш5</t>
        </is>
      </c>
      <c r="B6" s="8" t="n">
        <v>33.458</v>
      </c>
      <c r="C6" s="7" t="n"/>
      <c r="D6" s="7" t="n"/>
      <c r="E6" s="7" t="n"/>
      <c r="F6" s="7" t="n"/>
      <c r="G6" s="7" t="n"/>
      <c r="H6" s="7" t="n"/>
      <c r="I6" s="7" t="n"/>
      <c r="J6" s="8">
        <f>SUM(B6:I6)</f>
        <v/>
      </c>
    </row>
    <row r="7">
      <c r="A7" s="7" t="inlineStr">
        <is>
          <t>I 40Ш1</t>
        </is>
      </c>
      <c r="B7" s="7" t="n"/>
      <c r="C7" s="7" t="n"/>
      <c r="D7" s="7" t="n"/>
      <c r="E7" s="7" t="n"/>
      <c r="F7" s="8" t="n">
        <v>4.465</v>
      </c>
      <c r="G7" s="7" t="n"/>
      <c r="H7" s="7" t="n"/>
      <c r="I7" s="7" t="n"/>
      <c r="J7" s="8">
        <f>SUM(B7:I7)</f>
        <v/>
      </c>
    </row>
    <row r="8">
      <c r="A8" s="7" t="inlineStr">
        <is>
          <t>I 30Ш1</t>
        </is>
      </c>
      <c r="B8" s="7" t="n"/>
      <c r="C8" s="7" t="n"/>
      <c r="D8" s="8" t="n">
        <v>0.841</v>
      </c>
      <c r="E8" s="7" t="n"/>
      <c r="F8" s="7" t="n"/>
      <c r="G8" s="7" t="n"/>
      <c r="H8" s="7" t="n"/>
      <c r="I8" s="7" t="n"/>
      <c r="J8" s="8">
        <f>SUM(B8:I8)</f>
        <v/>
      </c>
    </row>
    <row r="9">
      <c r="A9" s="7" t="inlineStr">
        <is>
          <t>I 30К1</t>
        </is>
      </c>
      <c r="B9" s="8" t="n">
        <v>1.67</v>
      </c>
      <c r="C9" s="7" t="n"/>
      <c r="D9" s="7" t="n"/>
      <c r="E9" s="7" t="n"/>
      <c r="F9" s="7" t="n"/>
      <c r="G9" s="7" t="n"/>
      <c r="H9" s="7" t="n"/>
      <c r="I9" s="7" t="n"/>
      <c r="J9" s="8">
        <f>SUM(B9:I9)</f>
        <v/>
      </c>
    </row>
    <row r="10">
      <c r="A10" s="7" t="inlineStr">
        <is>
          <t>I 25Б2</t>
        </is>
      </c>
      <c r="B10" s="7" t="n"/>
      <c r="C10" s="7" t="n"/>
      <c r="D10" s="8" t="n">
        <v>1.053</v>
      </c>
      <c r="E10" s="7" t="n"/>
      <c r="F10" s="7" t="n"/>
      <c r="G10" s="7" t="n"/>
      <c r="H10" s="7" t="n"/>
      <c r="I10" s="7" t="n"/>
      <c r="J10" s="8">
        <f>SUM(B10:I10)</f>
        <v/>
      </c>
    </row>
    <row r="11">
      <c r="A11" s="7" t="inlineStr">
        <is>
          <t>I 25Б1</t>
        </is>
      </c>
      <c r="B11" s="7" t="n"/>
      <c r="C11" s="7" t="n"/>
      <c r="D11" s="8" t="n">
        <v>0.694</v>
      </c>
      <c r="E11" s="8" t="n">
        <v>2.107</v>
      </c>
      <c r="F11" s="7" t="n"/>
      <c r="G11" s="7" t="n"/>
      <c r="H11" s="7" t="n"/>
      <c r="I11" s="7" t="n"/>
      <c r="J11" s="8">
        <f>SUM(B11:I11)</f>
        <v/>
      </c>
    </row>
    <row r="12">
      <c r="A12" s="7" t="inlineStr">
        <is>
          <t>I 16Б1</t>
        </is>
      </c>
      <c r="B12" s="7" t="n"/>
      <c r="C12" s="7" t="n"/>
      <c r="D12" s="8" t="n">
        <v>0.419</v>
      </c>
      <c r="E12" s="8" t="n">
        <v>0.406</v>
      </c>
      <c r="F12" s="7" t="n"/>
      <c r="G12" s="7" t="n"/>
      <c r="H12" s="7" t="n"/>
      <c r="I12" s="7" t="n"/>
      <c r="J12" s="8">
        <f>SUM(B12:I12)</f>
        <v/>
      </c>
    </row>
    <row r="13">
      <c r="A13" s="4" t="inlineStr">
        <is>
          <t>Гнутые замкнутые профили — ГОСТ 30245-2003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7" t="inlineStr">
        <is>
          <t>Тр.□180×7</t>
        </is>
      </c>
      <c r="B14" s="8" t="n">
        <v>3.061</v>
      </c>
      <c r="C14" s="7" t="n"/>
      <c r="D14" s="7" t="n"/>
      <c r="E14" s="7" t="n"/>
      <c r="F14" s="7" t="n"/>
      <c r="G14" s="7" t="n"/>
      <c r="H14" s="7" t="n"/>
      <c r="I14" s="7" t="n"/>
      <c r="J14" s="8">
        <f>SUM(B14:I14)</f>
        <v/>
      </c>
    </row>
    <row r="15">
      <c r="A15" s="7" t="inlineStr">
        <is>
          <t>Тр.□100×5</t>
        </is>
      </c>
      <c r="B15" s="7" t="n"/>
      <c r="C15" s="7" t="n"/>
      <c r="D15" s="7" t="n"/>
      <c r="E15" s="7" t="n"/>
      <c r="F15" s="7" t="n"/>
      <c r="G15" s="7" t="n"/>
      <c r="H15" s="8" t="n">
        <v>2.799</v>
      </c>
      <c r="I15" s="8" t="n">
        <v>0.8159999999999999</v>
      </c>
      <c r="J15" s="8">
        <f>SUM(B15:I15)</f>
        <v/>
      </c>
    </row>
    <row r="16">
      <c r="A16" s="4" t="inlineStr">
        <is>
          <t>Швеллеры — ГОСТ 8240-97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7" t="inlineStr">
        <is>
          <t>[ 33П</t>
        </is>
      </c>
      <c r="B17" s="7" t="n"/>
      <c r="C17" s="7" t="n"/>
      <c r="D17" s="8" t="n">
        <v>0.621</v>
      </c>
      <c r="E17" s="7" t="n"/>
      <c r="F17" s="7" t="n"/>
      <c r="G17" s="7" t="n"/>
      <c r="H17" s="7" t="n"/>
      <c r="I17" s="7" t="n"/>
      <c r="J17" s="8">
        <f>SUM(B17:I17)</f>
        <v/>
      </c>
    </row>
    <row r="18">
      <c r="A18" s="7" t="inlineStr">
        <is>
          <t>[ 27П</t>
        </is>
      </c>
      <c r="B18" s="7" t="n"/>
      <c r="C18" s="8" t="n">
        <v>0.253</v>
      </c>
      <c r="D18" s="7" t="n"/>
      <c r="E18" s="7" t="n"/>
      <c r="F18" s="7" t="n"/>
      <c r="G18" s="7" t="n"/>
      <c r="H18" s="7" t="n"/>
      <c r="I18" s="7" t="n"/>
      <c r="J18" s="8">
        <f>SUM(B18:I18)</f>
        <v/>
      </c>
    </row>
    <row r="19">
      <c r="A19" s="7" t="inlineStr">
        <is>
          <t>[ 24П</t>
        </is>
      </c>
      <c r="B19" s="7" t="n"/>
      <c r="C19" s="8" t="n">
        <v>1.072</v>
      </c>
      <c r="D19" s="7" t="n"/>
      <c r="E19" s="8" t="n">
        <v>0.528</v>
      </c>
      <c r="F19" s="7" t="n"/>
      <c r="G19" s="8" t="n">
        <v>4.152</v>
      </c>
      <c r="H19" s="7" t="n"/>
      <c r="I19" s="7" t="n"/>
      <c r="J19" s="8">
        <f>SUM(B19:I19)</f>
        <v/>
      </c>
    </row>
    <row r="20">
      <c r="A20" s="4" t="inlineStr">
        <is>
          <t>Листовой прокат — ГОСТ 19903-2015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7" t="inlineStr">
        <is>
          <t>– 30</t>
        </is>
      </c>
      <c r="B21" s="8" t="n">
        <v>0.104</v>
      </c>
      <c r="C21" s="7" t="n"/>
      <c r="D21" s="7" t="n"/>
      <c r="E21" s="7" t="n"/>
      <c r="F21" s="7" t="n"/>
      <c r="G21" s="7" t="n"/>
      <c r="H21" s="7" t="n"/>
      <c r="I21" s="7" t="n"/>
      <c r="J21" s="8">
        <f>SUM(B21:I21)</f>
        <v/>
      </c>
    </row>
    <row r="22">
      <c r="A22" s="7" t="inlineStr">
        <is>
          <t>– 20</t>
        </is>
      </c>
      <c r="B22" s="8" t="n">
        <v>1.308</v>
      </c>
      <c r="C22" s="7" t="n"/>
      <c r="D22" s="7" t="n"/>
      <c r="E22" s="7" t="n"/>
      <c r="F22" s="8" t="n">
        <v>0.229</v>
      </c>
      <c r="G22" s="7" t="n"/>
      <c r="H22" s="7" t="n"/>
      <c r="I22" s="7" t="n"/>
      <c r="J22" s="8">
        <f>SUM(B22:I22)</f>
        <v/>
      </c>
    </row>
    <row r="23">
      <c r="A23" s="7" t="inlineStr">
        <is>
          <t>– 16</t>
        </is>
      </c>
      <c r="B23" s="8" t="n">
        <v>0.067</v>
      </c>
      <c r="C23" s="7" t="n"/>
      <c r="D23" s="7" t="n"/>
      <c r="E23" s="7" t="n"/>
      <c r="F23" s="7" t="n"/>
      <c r="G23" s="7" t="n"/>
      <c r="H23" s="7" t="n"/>
      <c r="I23" s="7" t="n"/>
      <c r="J23" s="8">
        <f>SUM(B23:I23)</f>
        <v/>
      </c>
    </row>
    <row r="24">
      <c r="A24" s="7" t="inlineStr">
        <is>
          <t>– 12</t>
        </is>
      </c>
      <c r="B24" s="8" t="n">
        <v>1.543</v>
      </c>
      <c r="C24" s="7" t="n"/>
      <c r="D24" s="7" t="n"/>
      <c r="E24" s="7" t="n"/>
      <c r="F24" s="8" t="n">
        <v>0.02</v>
      </c>
      <c r="G24" s="7" t="n"/>
      <c r="H24" s="7" t="n"/>
      <c r="I24" s="7" t="n"/>
      <c r="J24" s="8">
        <f>SUM(B24:I24)</f>
        <v/>
      </c>
    </row>
    <row r="25">
      <c r="A25" s="7" t="inlineStr">
        <is>
          <t>– 10</t>
        </is>
      </c>
      <c r="B25" s="8" t="n">
        <v>0.805</v>
      </c>
      <c r="C25" s="8" t="n">
        <v>0.054</v>
      </c>
      <c r="D25" s="8" t="n">
        <v>0.15</v>
      </c>
      <c r="E25" s="8" t="n">
        <v>0.129</v>
      </c>
      <c r="F25" s="8" t="n">
        <v>0.41</v>
      </c>
      <c r="G25" s="8" t="n">
        <v>0.27</v>
      </c>
      <c r="H25" s="8" t="n">
        <v>0.039</v>
      </c>
      <c r="I25" s="8" t="n">
        <v>0.019</v>
      </c>
      <c r="J25" s="8">
        <f>SUM(B25:I25)</f>
        <v/>
      </c>
    </row>
    <row r="26">
      <c r="A26" s="7" t="inlineStr">
        <is>
          <t>– 8</t>
        </is>
      </c>
      <c r="B26" s="8" t="n">
        <v>0.023</v>
      </c>
      <c r="C26" s="7" t="n"/>
      <c r="D26" s="7" t="n"/>
      <c r="E26" s="7" t="n"/>
      <c r="F26" s="7" t="n"/>
      <c r="G26" s="8" t="n">
        <v>0.36</v>
      </c>
      <c r="H26" s="8" t="n">
        <v>0.186</v>
      </c>
      <c r="I26" s="8" t="n">
        <v>0.142</v>
      </c>
      <c r="J26" s="8">
        <f>SUM(B26:I26)</f>
        <v/>
      </c>
    </row>
    <row r="27">
      <c r="A27" s="7" t="inlineStr">
        <is>
          <t>– 4</t>
        </is>
      </c>
      <c r="B27" s="7" t="n"/>
      <c r="C27" s="7" t="n"/>
      <c r="D27" s="7" t="n"/>
      <c r="E27" s="7" t="n"/>
      <c r="F27" s="7" t="n"/>
      <c r="G27" s="7" t="n"/>
      <c r="H27" s="8" t="n">
        <v>0.004</v>
      </c>
      <c r="I27" s="8" t="n">
        <v>0.044</v>
      </c>
      <c r="J27" s="8">
        <f>SUM(B27:I27)</f>
        <v/>
      </c>
    </row>
    <row r="28">
      <c r="A28" s="4" t="inlineStr">
        <is>
          <t>Просечно-вытяжной лист — ТУ 36.26.11-5-89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7" t="inlineStr">
        <is>
          <t>ПВЛ506</t>
        </is>
      </c>
      <c r="B29" s="7" t="n"/>
      <c r="C29" s="8" t="n">
        <v>0.656</v>
      </c>
      <c r="D29" s="8" t="n">
        <v>0.959</v>
      </c>
      <c r="E29" s="8" t="n">
        <v>1.148</v>
      </c>
      <c r="F29" s="7" t="n"/>
      <c r="G29" s="7" t="n"/>
      <c r="H29" s="7" t="n"/>
      <c r="I29" s="7" t="n"/>
      <c r="J29" s="8">
        <f>SUM(B29:I29)</f>
        <v/>
      </c>
    </row>
    <row r="30">
      <c r="A30" s="4" t="inlineStr">
        <is>
          <t>Уголки — ГОСТ 8509-93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7" t="inlineStr">
        <is>
          <t>L 125×8</t>
        </is>
      </c>
      <c r="B31" s="8" t="n">
        <v>0.094</v>
      </c>
      <c r="C31" s="7" t="n"/>
      <c r="D31" s="7" t="n"/>
      <c r="E31" s="7" t="n"/>
      <c r="F31" s="7" t="n"/>
      <c r="G31" s="7" t="n"/>
      <c r="H31" s="7" t="n"/>
      <c r="I31" s="7" t="n"/>
      <c r="J31" s="8">
        <f>SUM(B31:I31)</f>
        <v/>
      </c>
    </row>
    <row r="32">
      <c r="A32" s="7" t="inlineStr">
        <is>
          <t>L 100×7</t>
        </is>
      </c>
      <c r="B32" s="8" t="n">
        <v>0.047</v>
      </c>
      <c r="C32" s="7" t="n"/>
      <c r="D32" s="7" t="n"/>
      <c r="E32" s="7" t="n"/>
      <c r="F32" s="7" t="n"/>
      <c r="G32" s="7" t="n"/>
      <c r="H32" s="7" t="n"/>
      <c r="I32" s="7" t="n"/>
      <c r="J32" s="8">
        <f>SUM(B32:I32)</f>
        <v/>
      </c>
    </row>
    <row r="33">
      <c r="A33" s="7" t="inlineStr">
        <is>
          <t>L 75×6</t>
        </is>
      </c>
      <c r="B33" s="7" t="n"/>
      <c r="C33" s="8" t="n">
        <v>0.23</v>
      </c>
      <c r="D33" s="8" t="n">
        <v>0.125</v>
      </c>
      <c r="E33" s="8" t="n">
        <v>0.169</v>
      </c>
      <c r="F33" s="8" t="n">
        <v>0.005</v>
      </c>
      <c r="G33" s="7" t="n"/>
      <c r="H33" s="7" t="n"/>
      <c r="I33" s="7" t="n"/>
      <c r="J33" s="8">
        <f>SUM(B33:I33)</f>
        <v/>
      </c>
    </row>
    <row r="34">
      <c r="A34" s="11" t="inlineStr">
        <is>
          <t>ИТОГО</t>
        </is>
      </c>
      <c r="B34" s="12">
        <f>SUM(B6:B12)+SUM(B14:B15)+SUM(B17:B19)+SUM(B21:B27)+SUM(B29:B29)+SUM(B31:B33)</f>
        <v/>
      </c>
      <c r="C34" s="12">
        <f>SUM(C6:C12)+SUM(C14:C15)+SUM(C17:C19)+SUM(C21:C27)+SUM(C29:C29)+SUM(C31:C33)</f>
        <v/>
      </c>
      <c r="D34" s="12">
        <f>SUM(D6:D12)+SUM(D14:D15)+SUM(D17:D19)+SUM(D21:D27)+SUM(D29:D29)+SUM(D31:D33)</f>
        <v/>
      </c>
      <c r="E34" s="12">
        <f>SUM(E6:E12)+SUM(E14:E15)+SUM(E17:E19)+SUM(E21:E27)+SUM(E29:E29)+SUM(E31:E33)</f>
        <v/>
      </c>
      <c r="F34" s="12">
        <f>SUM(F6:F12)+SUM(F14:F15)+SUM(F17:F19)+SUM(F21:F27)+SUM(F29:F29)+SUM(F31:F33)</f>
        <v/>
      </c>
      <c r="G34" s="12">
        <f>SUM(G6:G12)+SUM(G14:G15)+SUM(G17:G19)+SUM(G21:G27)+SUM(G29:G29)+SUM(G31:G33)</f>
        <v/>
      </c>
      <c r="H34" s="12">
        <f>SUM(H6:H12)+SUM(H14:H15)+SUM(H17:H19)+SUM(H21:H27)+SUM(H29:H29)+SUM(H31:H33)</f>
        <v/>
      </c>
      <c r="I34" s="12">
        <f>SUM(I6:I12)+SUM(I14:I15)+SUM(I17:I19)+SUM(I21:I27)+SUM(I29:I29)+SUM(I31:I33)</f>
        <v/>
      </c>
      <c r="J34" s="12">
        <f>SUM(J6:J12)+SUM(J14:J15)+SUM(J17:J19)+SUM(J21:J27)+SUM(J29:J29)+SUM(J31:J33)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СВЕРКА С ЧЕРТЕЖОМ (лист 2)</t>
        </is>
      </c>
    </row>
    <row r="3">
      <c r="A3" s="2" t="inlineStr">
        <is>
          <t>Позиция</t>
        </is>
      </c>
      <c r="B3" s="2" t="inlineStr">
        <is>
          <t>Расчёт, т</t>
        </is>
      </c>
      <c r="C3" s="2" t="inlineStr">
        <is>
          <t>Чертёж, т</t>
        </is>
      </c>
      <c r="D3" s="2" t="inlineStr">
        <is>
          <t>Δ, т</t>
        </is>
      </c>
    </row>
    <row r="4">
      <c r="A4" s="7" t="inlineStr">
        <is>
          <t>Двутавры</t>
        </is>
      </c>
      <c r="B4" s="8">
        <f>'1. По сортаменту'!E5</f>
        <v/>
      </c>
      <c r="C4" s="8" t="n">
        <v>45.113</v>
      </c>
      <c r="D4" s="8">
        <f>B4-C4</f>
        <v/>
      </c>
    </row>
    <row r="5">
      <c r="A5" s="7" t="inlineStr">
        <is>
          <t>Гнутые замкнутые профили</t>
        </is>
      </c>
      <c r="B5" s="8">
        <f>'1. По сортаменту'!E13</f>
        <v/>
      </c>
      <c r="C5" s="8" t="n">
        <v>6.676</v>
      </c>
      <c r="D5" s="8">
        <f>B5-C5</f>
        <v/>
      </c>
    </row>
    <row r="6">
      <c r="A6" s="7" t="inlineStr">
        <is>
          <t>Швеллеры</t>
        </is>
      </c>
      <c r="B6" s="8">
        <f>'1. По сортаменту'!E16</f>
        <v/>
      </c>
      <c r="C6" s="8" t="n">
        <v>6.626</v>
      </c>
      <c r="D6" s="8">
        <f>B6-C6</f>
        <v/>
      </c>
    </row>
    <row r="7">
      <c r="A7" s="7" t="inlineStr">
        <is>
          <t>Листовой прокат</t>
        </is>
      </c>
      <c r="B7" s="8">
        <f>'1. По сортаменту'!E20</f>
        <v/>
      </c>
      <c r="C7" s="8" t="n">
        <v>5.906</v>
      </c>
      <c r="D7" s="8">
        <f>B7-C7</f>
        <v/>
      </c>
    </row>
    <row r="8">
      <c r="A8" s="7" t="inlineStr">
        <is>
          <t>Просечно-вытяжной лист</t>
        </is>
      </c>
      <c r="B8" s="8">
        <f>'1. По сортаменту'!E28</f>
        <v/>
      </c>
      <c r="C8" s="8" t="n">
        <v>2.763</v>
      </c>
      <c r="D8" s="8">
        <f>B8-C8</f>
        <v/>
      </c>
    </row>
    <row r="9">
      <c r="A9" s="7" t="inlineStr">
        <is>
          <t>Уголки</t>
        </is>
      </c>
      <c r="B9" s="8">
        <f>'1. По сортаменту'!E30</f>
        <v/>
      </c>
      <c r="C9" s="8" t="n">
        <v>0.67</v>
      </c>
      <c r="D9" s="8">
        <f>B9-C9</f>
        <v/>
      </c>
    </row>
    <row r="10">
      <c r="A10" s="11" t="inlineStr">
        <is>
          <t>ВСЕГО масса металла</t>
        </is>
      </c>
      <c r="B10" s="16">
        <f>'1. По сортаменту'!E34</f>
        <v/>
      </c>
      <c r="C10" s="16" t="n">
        <v>67.754</v>
      </c>
      <c r="D10" s="16">
        <f>B10-C10</f>
        <v/>
      </c>
    </row>
    <row r="11">
      <c r="A11" s="11" t="inlineStr">
        <is>
          <t>с учётом 1 %</t>
        </is>
      </c>
      <c r="B11" s="16">
        <f>'1. По сортаменту'!E35</f>
        <v/>
      </c>
      <c r="C11" s="16" t="n">
        <v>68.432</v>
      </c>
      <c r="D11" s="16">
        <f>B11-C11</f>
        <v/>
      </c>
    </row>
    <row r="12">
      <c r="A12" s="11" t="inlineStr">
        <is>
          <t>с учётом 3 % КМД</t>
        </is>
      </c>
      <c r="B12" s="16">
        <f>'1. По сортаменту'!E36</f>
        <v/>
      </c>
      <c r="C12" s="16" t="n">
        <v>70.48399999999999</v>
      </c>
      <c r="D12" s="16">
        <f>B12-C12</f>
        <v/>
      </c>
    </row>
    <row r="13">
      <c r="A13" s="11" t="inlineStr">
        <is>
          <t>Сумма по использованию</t>
        </is>
      </c>
      <c r="B13" s="16">
        <f>'2. По использованию'!C13</f>
        <v/>
      </c>
      <c r="C13" s="16" t="n">
        <v>67.754</v>
      </c>
      <c r="D13" s="16">
        <f>B13-C13</f>
        <v/>
      </c>
    </row>
    <row r="14">
      <c r="A14" s="11" t="inlineStr">
        <is>
          <t>Сумма по матрице</t>
        </is>
      </c>
      <c r="B14" s="16">
        <f>'3. Матрица'!J34</f>
        <v/>
      </c>
      <c r="C14" s="16" t="n">
        <v>67.754</v>
      </c>
      <c r="D14" s="16">
        <f>B14-C14</f>
        <v/>
      </c>
    </row>
    <row r="16">
      <c r="A16" t="inlineStr">
        <is>
          <t>Δ = 0,000 по всем строкам. Надбавки 1 % и 3 % начислены на неокруглённые величины.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2026-10-01T11:54:32Z</dcterms:created>
  <dcterms:modified xsi:type="dcterms:W3CDTF">2026-10-01T11:54:32Z</dcterms:modified>
</cp:coreProperties>
</file>