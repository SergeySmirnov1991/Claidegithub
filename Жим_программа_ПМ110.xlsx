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Жим для разрядников" sheetId="1" state="visible" r:id="rId3"/>
    <sheet name="Жим для любителей пахат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<sst xmlns="http://schemas.openxmlformats.org/spreadsheetml/2006/main" count="199" uniqueCount="57">
  <si>
    <t xml:space="preserve">Жим для разрядников</t>
  </si>
  <si>
    <t xml:space="preserve">ПМ =</t>
  </si>
  <si>
    <t xml:space="preserve">кг.</t>
  </si>
  <si>
    <t xml:space="preserve">← жёлтая ячейка: впишите свой ПМ, веса в строке 3 пересчитаются</t>
  </si>
  <si>
    <t xml:space="preserve">Нед.</t>
  </si>
  <si>
    <t xml:space="preserve">№ Тр-ки</t>
  </si>
  <si>
    <t xml:space="preserve">День недели</t>
  </si>
  <si>
    <t xml:space="preserve">П/в жима</t>
  </si>
  <si>
    <t xml:space="preserve">0-105</t>
  </si>
  <si>
    <t xml:space="preserve">КПШ</t>
  </si>
  <si>
    <t xml:space="preserve">Расчёт КПШ</t>
  </si>
  <si>
    <t xml:space="preserve">КПШ за неделю</t>
  </si>
  <si>
    <t xml:space="preserve">1</t>
  </si>
  <si>
    <t xml:space="preserve">I</t>
  </si>
  <si>
    <t xml:space="preserve">Пн</t>
  </si>
  <si>
    <t xml:space="preserve">5</t>
  </si>
  <si>
    <t xml:space="preserve">2*4</t>
  </si>
  <si>
    <t xml:space="preserve">2*3</t>
  </si>
  <si>
    <t xml:space="preserve">5*3</t>
  </si>
  <si>
    <t xml:space="preserve">2</t>
  </si>
  <si>
    <t xml:space="preserve">4*4</t>
  </si>
  <si>
    <t xml:space="preserve">II</t>
  </si>
  <si>
    <t xml:space="preserve">Пт</t>
  </si>
  <si>
    <t xml:space="preserve">4</t>
  </si>
  <si>
    <t xml:space="preserve">2*2</t>
  </si>
  <si>
    <t xml:space="preserve">6</t>
  </si>
  <si>
    <t xml:space="preserve">6*3</t>
  </si>
  <si>
    <t xml:space="preserve">Ср</t>
  </si>
  <si>
    <t xml:space="preserve">2*6</t>
  </si>
  <si>
    <t xml:space="preserve">4*6</t>
  </si>
  <si>
    <t xml:space="preserve">III</t>
  </si>
  <si>
    <t xml:space="preserve">3</t>
  </si>
  <si>
    <t xml:space="preserve">7</t>
  </si>
  <si>
    <t xml:space="preserve">7*3</t>
  </si>
  <si>
    <t xml:space="preserve">5*4</t>
  </si>
  <si>
    <t xml:space="preserve">3*2</t>
  </si>
  <si>
    <t xml:space="preserve">4*5</t>
  </si>
  <si>
    <t xml:space="preserve">8</t>
  </si>
  <si>
    <t xml:space="preserve">5*5</t>
  </si>
  <si>
    <t xml:space="preserve">2*1</t>
  </si>
  <si>
    <t xml:space="preserve">10</t>
  </si>
  <si>
    <t xml:space="preserve">12</t>
  </si>
  <si>
    <t xml:space="preserve">6*2</t>
  </si>
  <si>
    <t xml:space="preserve">2*5</t>
  </si>
  <si>
    <t xml:space="preserve">9</t>
  </si>
  <si>
    <t xml:space="preserve">5*2</t>
  </si>
  <si>
    <t xml:space="preserve">Пояснения к таблице</t>
  </si>
  <si>
    <t xml:space="preserve">• Источник: фотография экрана Excel, лист «Жим для разрядников». Все ячейки перенесены в том виде, как напечатано.</t>
  </si>
  <si>
    <t xml:space="preserve">• Запись в ячейке: «5» — один подход на 5 повторений; «2*4» — два подхода по 4 повторения.</t>
  </si>
  <si>
    <t xml:space="preserve">• ПМ (предельный максимум) = 110 кг — значение из шапки фотографии. Жёлтая ячейка H1 — поле для ввода: веса в строке 3 пересчитываются формулой =FLOOR(ПМ*%; 2,5), т.е. с округлением вниз до 2,5 кг. Это правило точно воспроизводит все девять весов из шапки (55; 60; 65; 70; 75; 82,5; 87,5; 92,5; 97,5).</t>
  </si>
  <si>
    <t xml:space="preserve">• Колонка «КПШ» — количество подъёмов штанги, перенесено с фотографии как есть. Колонка «Расчёт КПШ» пересчитывает эту же сумму формулой по ячейкам строки: 21 строка из 22 совпадает.</t>
  </si>
  <si>
    <t xml:space="preserve">• Единственное расхождение — неделя 1, тренировка II (Пт): на фото КПШ = 48, а сумма подъёмов по ячейкам = 45. Строка разобрана попиксельно: пустые ячейки действительно пусты, начертание цифр сверено с эталонами из той же таблицы (в частности, последняя «5» — именно 5, а не 8). Похоже, расхождение в 3 подъёма есть в самом исходном файле. Вероятная причина: убывающая лесенка здесь идёт 2*3 - 4 - 6 - 5, тогда как в такой же по построению тренировке недели 4 она идёт 2*3 - 4 - 6 - 8. Если в последней ячейке (50%) должно стоять 8, сумма даёт ровно 48. В таблице оставлено то, что напечатано на фото — 5.</t>
  </si>
  <si>
    <t xml:space="preserve">• Неделя 4, тренировка III (Пт): значение КПШ на фото частично перекрыто курсором мыши; восстановлено по контрольной сумме ячеек — 53.</t>
  </si>
  <si>
    <t xml:space="preserve">• Заголовок 10-й колонки нагрузки напечатан как «0-105» — по смыслу это обрезанное шириной колонки «100-105%» (проходка). Вес под ним на фото не указан, поэтому формулы там нет.</t>
  </si>
  <si>
    <t xml:space="preserve">• Последняя строка таблицы (Тр-ка I, Пн) — начало следующей недели; её номер в кадр фотографии не попал, поэтому ячейка «Нед.» оставлена пустой.</t>
  </si>
  <si>
    <t xml:space="preserve">• Колонка «КПШ за неделю» — сумма КПШ по неделе, добавлена формулой (на фото этот столбец обрезан правым краем кадра).</t>
  </si>
  <si>
    <t xml:space="preserve">На фотографии виден ярлычок этого листа, но его содержимое в кадр не попало — лист оставлен пустым.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</si>
</sst>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###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6DCE4"/>
        <bgColor rgb="FFE2EFDA"/>
      </patternFill>
    </fill>
    <fill>
      <patternFill patternType="solid">
        <fgColor rgb="FFEDF0F4"/>
        <bgColor rgb="FFF4F4F4"/>
      </patternFill>
    </fill>
    <fill>
      <patternFill patternType="solid">
        <fgColor rgb="FFE2EFDA"/>
        <bgColor rgb="FFEDF0F4"/>
      </patternFill>
    </fill>
    <fill>
      <patternFill patternType="solid">
        <fgColor rgb="FFF5F5F5"/>
        <bgColor rgb="FFF4F4F4"/>
      </patternFill>
    </fill>
    <fill>
      <patternFill patternType="solid">
        <fgColor rgb="FFF4F4F4"/>
        <bgColor rgb="FFF5F5F5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333333"/>
      </left>
      <right style="thin">
        <color rgb="FF808080"/>
      </right>
      <top style="medium">
        <color rgb="FF333333"/>
      </top>
      <bottom style="medium">
        <color rgb="FF333333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333333"/>
      </top>
      <bottom style="medium">
        <color rgb="FF333333"/>
      </bottom>
      <diagonal/>
    </border>
    <border diagonalUp="false" diagonalDown="false">
      <left style="medium">
        <color rgb="FF333333"/>
      </left>
      <right style="thin">
        <color rgb="FF808080"/>
      </right>
      <top style="medium">
        <color rgb="FF333333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333333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medium">
        <color rgb="FF333333"/>
      </left>
      <right style="thin">
        <color rgb="FF808080"/>
      </right>
      <top style="thin">
        <color rgb="FF808080"/>
      </top>
      <bottom style="medium">
        <color rgb="FF333333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333333"/>
      </bottom>
      <diagonal/>
    </border>
    <border diagonalUp="false" diagonalDown="false">
      <left style="medium">
        <color rgb="FF333333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333333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333333"/>
      </right>
      <top style="thin">
        <color rgb="FF808080"/>
      </top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EDF0F4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4" style="0" width="7.5"/>
    <col collapsed="false" customWidth="true" hidden="false" outlineLevel="0" max="22" min="5" style="0" width="6.3"/>
    <col collapsed="false" customWidth="true" hidden="false" outlineLevel="0" max="23" min="23" style="0" width="7"/>
    <col collapsed="false" customWidth="true" hidden="false" outlineLevel="0" max="24" min="24" style="0" width="9"/>
    <col collapsed="false" customWidth="true" hidden="false" outlineLevel="0" max="25" min="25" style="0" width="11"/>
  </cols>
  <sheetData>
    <row r="1" customFormat="false" ht="15" hidden="false" customHeight="false" outlineLevel="0" collapsed="false">
      <c r="A1" s="1" t="s">
        <v>0</v>
      </c>
      <c r="G1" s="2" t="s">
        <v>1</v>
      </c>
      <c r="H1" s="3" t="n">
        <v>110</v>
      </c>
      <c r="I1" s="4" t="s">
        <v>2</v>
      </c>
      <c r="K1" s="5" t="s">
        <v>3</v>
      </c>
    </row>
    <row r="2" customFormat="false" ht="21.75" hidden="false" customHeight="true" outlineLevel="0" collapsed="false">
      <c r="A2" s="6" t="s">
        <v>4</v>
      </c>
      <c r="B2" s="7" t="s">
        <v>5</v>
      </c>
      <c r="C2" s="7" t="s">
        <v>6</v>
      </c>
      <c r="D2" s="7" t="s">
        <v>7</v>
      </c>
      <c r="E2" s="8" t="n">
        <v>0.5</v>
      </c>
      <c r="F2" s="9" t="n">
        <v>0.55</v>
      </c>
      <c r="G2" s="9" t="n">
        <v>0.6</v>
      </c>
      <c r="H2" s="9" t="n">
        <v>0.65</v>
      </c>
      <c r="I2" s="9" t="n">
        <v>0.7</v>
      </c>
      <c r="J2" s="9" t="n">
        <v>0.75</v>
      </c>
      <c r="K2" s="9" t="n">
        <v>0.8</v>
      </c>
      <c r="L2" s="9" t="n">
        <v>0.85</v>
      </c>
      <c r="M2" s="9" t="n">
        <v>0.9</v>
      </c>
      <c r="N2" s="10" t="s">
        <v>8</v>
      </c>
      <c r="O2" s="9" t="n">
        <v>0.85</v>
      </c>
      <c r="P2" s="9" t="n">
        <v>0.8</v>
      </c>
      <c r="Q2" s="9" t="n">
        <v>0.75</v>
      </c>
      <c r="R2" s="9" t="n">
        <v>0.7</v>
      </c>
      <c r="S2" s="9" t="n">
        <v>0.65</v>
      </c>
      <c r="T2" s="9" t="n">
        <v>0.6</v>
      </c>
      <c r="U2" s="9" t="n">
        <v>0.55</v>
      </c>
      <c r="V2" s="9" t="n">
        <v>0.5</v>
      </c>
      <c r="W2" s="11" t="s">
        <v>9</v>
      </c>
      <c r="X2" s="12" t="s">
        <v>10</v>
      </c>
      <c r="Y2" s="13" t="s">
        <v>11</v>
      </c>
    </row>
    <row r="3" customFormat="false" ht="16.5" hidden="false" customHeight="true" outlineLevel="0" collapsed="false">
      <c r="A3" s="6"/>
      <c r="B3" s="7"/>
      <c r="C3" s="7"/>
      <c r="D3" s="7"/>
      <c r="E3" s="14" t="n">
        <f aca="false">FLOOR($H$1*E$2,2.5)</f>
        <v>55</v>
      </c>
      <c r="F3" s="15" t="n">
        <f aca="false">FLOOR($H$1*F$2,2.5)</f>
        <v>60</v>
      </c>
      <c r="G3" s="15" t="n">
        <f aca="false">FLOOR($H$1*G$2,2.5)</f>
        <v>65</v>
      </c>
      <c r="H3" s="15" t="n">
        <f aca="false">FLOOR($H$1*H$2,2.5)</f>
        <v>70</v>
      </c>
      <c r="I3" s="15" t="n">
        <f aca="false">FLOOR($H$1*I$2,2.5)</f>
        <v>75</v>
      </c>
      <c r="J3" s="15" t="n">
        <f aca="false">FLOOR($H$1*J$2,2.5)</f>
        <v>82.5</v>
      </c>
      <c r="K3" s="15" t="n">
        <f aca="false">FLOOR($H$1*K$2,2.5)</f>
        <v>87.5</v>
      </c>
      <c r="L3" s="15" t="n">
        <f aca="false">FLOOR($H$1*L$2,2.5)</f>
        <v>92.5</v>
      </c>
      <c r="M3" s="15" t="n">
        <f aca="false">FLOOR($H$1*M$2,2.5)</f>
        <v>97.5</v>
      </c>
      <c r="N3" s="16"/>
      <c r="O3" s="15" t="n">
        <f aca="false">FLOOR($H$1*O$2,2.5)</f>
        <v>92.5</v>
      </c>
      <c r="P3" s="15" t="n">
        <f aca="false">FLOOR($H$1*P$2,2.5)</f>
        <v>87.5</v>
      </c>
      <c r="Q3" s="15" t="n">
        <f aca="false">FLOOR($H$1*Q$2,2.5)</f>
        <v>82.5</v>
      </c>
      <c r="R3" s="15" t="n">
        <f aca="false">FLOOR($H$1*R$2,2.5)</f>
        <v>75</v>
      </c>
      <c r="S3" s="15" t="n">
        <f aca="false">FLOOR($H$1*S$2,2.5)</f>
        <v>70</v>
      </c>
      <c r="T3" s="15" t="n">
        <f aca="false">FLOOR($H$1*T$2,2.5)</f>
        <v>65</v>
      </c>
      <c r="U3" s="15" t="n">
        <f aca="false">FLOOR($H$1*U$2,2.5)</f>
        <v>60</v>
      </c>
      <c r="V3" s="15" t="n">
        <f aca="false">FLOOR($H$1*V$2,2.5)</f>
        <v>55</v>
      </c>
      <c r="W3" s="11"/>
      <c r="X3" s="12"/>
      <c r="Y3" s="13"/>
    </row>
    <row r="4" customFormat="false" ht="15" hidden="false" customHeight="false" outlineLevel="0" collapsed="false">
      <c r="A4" s="17" t="s">
        <v>12</v>
      </c>
      <c r="B4" s="18" t="s">
        <v>13</v>
      </c>
      <c r="C4" s="18" t="s">
        <v>14</v>
      </c>
      <c r="D4" s="19" t="s">
        <v>12</v>
      </c>
      <c r="E4" s="20" t="s">
        <v>15</v>
      </c>
      <c r="F4" s="19"/>
      <c r="G4" s="19" t="s">
        <v>16</v>
      </c>
      <c r="H4" s="19"/>
      <c r="I4" s="19" t="s">
        <v>17</v>
      </c>
      <c r="J4" s="19" t="s">
        <v>18</v>
      </c>
      <c r="K4" s="19"/>
      <c r="L4" s="19"/>
      <c r="M4" s="19"/>
      <c r="N4" s="20"/>
      <c r="O4" s="19"/>
      <c r="P4" s="19"/>
      <c r="Q4" s="19"/>
      <c r="R4" s="19"/>
      <c r="S4" s="19"/>
      <c r="T4" s="19"/>
      <c r="U4" s="19"/>
      <c r="V4" s="19"/>
      <c r="W4" s="21" t="n">
        <v>34</v>
      </c>
      <c r="X4" s="22" t="n">
        <f aca="false">IFERROR(LEFT(E4,FIND("*",E4)-1)*MID(E4,FIND("*",E4)+1,3),IF(E4="",0,E4*1))+IFERROR(LEFT(F4,FIND("*",F4)-1)*MID(F4,FIND("*",F4)+1,3),IF(F4="",0,F4*1))+IFERROR(LEFT(G4,FIND("*",G4)-1)*MID(G4,FIND("*",G4)+1,3),IF(G4="",0,G4*1))+IFERROR(LEFT(H4,FIND("*",H4)-1)*MID(H4,FIND("*",H4)+1,3),IF(H4="",0,H4*1))+IFERROR(LEFT(I4,FIND("*",I4)-1)*MID(I4,FIND("*",I4)+1,3),IF(I4="",0,I4*1))+IFERROR(LEFT(J4,FIND("*",J4)-1)*MID(J4,FIND("*",J4)+1,3),IF(J4="",0,J4*1))+IFERROR(LEFT(K4,FIND("*",K4)-1)*MID(K4,FIND("*",K4)+1,3),IF(K4="",0,K4*1))+IFERROR(LEFT(L4,FIND("*",L4)-1)*MID(L4,FIND("*",L4)+1,3),IF(L4="",0,L4*1))+IFERROR(LEFT(M4,FIND("*",M4)-1)*MID(M4,FIND("*",M4)+1,3),IF(M4="",0,M4*1))+IFERROR(LEFT(N4,FIND("*",N4)-1)*MID(N4,FIND("*",N4)+1,3),IF(N4="",0,N4*1))+IFERROR(LEFT(O4,FIND("*",O4)-1)*MID(O4,FIND("*",O4)+1,3),IF(O4="",0,O4*1))+IFERROR(LEFT(P4,FIND("*",P4)-1)*MID(P4,FIND("*",P4)+1,3),IF(P4="",0,P4*1))+IFERROR(LEFT(Q4,FIND("*",Q4)-1)*MID(Q4,FIND("*",Q4)+1,3),IF(Q4="",0,Q4*1))+IFERROR(LEFT(R4,FIND("*",R4)-1)*MID(R4,FIND("*",R4)+1,3),IF(R4="",0,R4*1))+IFERROR(LEFT(S4,FIND("*",S4)-1)*MID(S4,FIND("*",S4)+1,3),IF(S4="",0,S4*1))+IFERROR(LEFT(T4,FIND("*",T4)-1)*MID(T4,FIND("*",T4)+1,3),IF(T4="",0,T4*1))+IFERROR(LEFT(U4,FIND("*",U4)-1)*MID(U4,FIND("*",U4)+1,3),IF(U4="",0,U4*1))+IFERROR(LEFT(V4,FIND("*",V4)-1)*MID(V4,FIND("*",V4)+1,3),IF(V4="",0,V4*1))</f>
        <v>34</v>
      </c>
      <c r="Y4" s="23" t="n">
        <f aca="false">SUM(W4:W6)</f>
        <v>108</v>
      </c>
    </row>
    <row r="5" customFormat="false" ht="15" hidden="false" customHeight="false" outlineLevel="0" collapsed="false">
      <c r="A5" s="17"/>
      <c r="B5" s="18"/>
      <c r="C5" s="18"/>
      <c r="D5" s="19" t="s">
        <v>19</v>
      </c>
      <c r="E5" s="20" t="s">
        <v>15</v>
      </c>
      <c r="F5" s="19"/>
      <c r="G5" s="19" t="s">
        <v>15</v>
      </c>
      <c r="H5" s="19"/>
      <c r="I5" s="19" t="s">
        <v>20</v>
      </c>
      <c r="J5" s="19"/>
      <c r="K5" s="19"/>
      <c r="L5" s="19"/>
      <c r="M5" s="19"/>
      <c r="N5" s="20"/>
      <c r="O5" s="19"/>
      <c r="P5" s="19"/>
      <c r="Q5" s="19"/>
      <c r="R5" s="19"/>
      <c r="S5" s="19"/>
      <c r="T5" s="19"/>
      <c r="U5" s="19"/>
      <c r="V5" s="19"/>
      <c r="W5" s="21" t="n">
        <v>26</v>
      </c>
      <c r="X5" s="22" t="n">
        <f aca="false">IFERROR(LEFT(E5,FIND("*",E5)-1)*MID(E5,FIND("*",E5)+1,3),IF(E5="",0,E5*1))+IFERROR(LEFT(F5,FIND("*",F5)-1)*MID(F5,FIND("*",F5)+1,3),IF(F5="",0,F5*1))+IFERROR(LEFT(G5,FIND("*",G5)-1)*MID(G5,FIND("*",G5)+1,3),IF(G5="",0,G5*1))+IFERROR(LEFT(H5,FIND("*",H5)-1)*MID(H5,FIND("*",H5)+1,3),IF(H5="",0,H5*1))+IFERROR(LEFT(I5,FIND("*",I5)-1)*MID(I5,FIND("*",I5)+1,3),IF(I5="",0,I5*1))+IFERROR(LEFT(J5,FIND("*",J5)-1)*MID(J5,FIND("*",J5)+1,3),IF(J5="",0,J5*1))+IFERROR(LEFT(K5,FIND("*",K5)-1)*MID(K5,FIND("*",K5)+1,3),IF(K5="",0,K5*1))+IFERROR(LEFT(L5,FIND("*",L5)-1)*MID(L5,FIND("*",L5)+1,3),IF(L5="",0,L5*1))+IFERROR(LEFT(M5,FIND("*",M5)-1)*MID(M5,FIND("*",M5)+1,3),IF(M5="",0,M5*1))+IFERROR(LEFT(N5,FIND("*",N5)-1)*MID(N5,FIND("*",N5)+1,3),IF(N5="",0,N5*1))+IFERROR(LEFT(O5,FIND("*",O5)-1)*MID(O5,FIND("*",O5)+1,3),IF(O5="",0,O5*1))+IFERROR(LEFT(P5,FIND("*",P5)-1)*MID(P5,FIND("*",P5)+1,3),IF(P5="",0,P5*1))+IFERROR(LEFT(Q5,FIND("*",Q5)-1)*MID(Q5,FIND("*",Q5)+1,3),IF(Q5="",0,Q5*1))+IFERROR(LEFT(R5,FIND("*",R5)-1)*MID(R5,FIND("*",R5)+1,3),IF(R5="",0,R5*1))+IFERROR(LEFT(S5,FIND("*",S5)-1)*MID(S5,FIND("*",S5)+1,3),IF(S5="",0,S5*1))+IFERROR(LEFT(T5,FIND("*",T5)-1)*MID(T5,FIND("*",T5)+1,3),IF(T5="",0,T5*1))+IFERROR(LEFT(U5,FIND("*",U5)-1)*MID(U5,FIND("*",U5)+1,3),IF(U5="",0,U5*1))+IFERROR(LEFT(V5,FIND("*",V5)-1)*MID(V5,FIND("*",V5)+1,3),IF(V5="",0,V5*1))</f>
        <v>26</v>
      </c>
      <c r="Y5" s="23"/>
    </row>
    <row r="6" customFormat="false" ht="15" hidden="false" customHeight="false" outlineLevel="0" collapsed="false">
      <c r="A6" s="17"/>
      <c r="B6" s="18" t="s">
        <v>21</v>
      </c>
      <c r="C6" s="18" t="s">
        <v>22</v>
      </c>
      <c r="D6" s="19" t="s">
        <v>12</v>
      </c>
      <c r="E6" s="20" t="s">
        <v>15</v>
      </c>
      <c r="F6" s="19"/>
      <c r="G6" s="19" t="s">
        <v>15</v>
      </c>
      <c r="H6" s="19"/>
      <c r="I6" s="19" t="s">
        <v>23</v>
      </c>
      <c r="J6" s="19" t="s">
        <v>17</v>
      </c>
      <c r="K6" s="19" t="s">
        <v>24</v>
      </c>
      <c r="L6" s="19"/>
      <c r="M6" s="19"/>
      <c r="N6" s="20"/>
      <c r="O6" s="19"/>
      <c r="P6" s="19"/>
      <c r="Q6" s="19" t="s">
        <v>17</v>
      </c>
      <c r="R6" s="19" t="s">
        <v>23</v>
      </c>
      <c r="S6" s="19"/>
      <c r="T6" s="19" t="s">
        <v>25</v>
      </c>
      <c r="U6" s="19"/>
      <c r="V6" s="19" t="s">
        <v>15</v>
      </c>
      <c r="W6" s="21" t="n">
        <v>48</v>
      </c>
      <c r="X6" s="22" t="n">
        <f aca="false">IFERROR(LEFT(E6,FIND("*",E6)-1)*MID(E6,FIND("*",E6)+1,3),IF(E6="",0,E6*1))+IFERROR(LEFT(F6,FIND("*",F6)-1)*MID(F6,FIND("*",F6)+1,3),IF(F6="",0,F6*1))+IFERROR(LEFT(G6,FIND("*",G6)-1)*MID(G6,FIND("*",G6)+1,3),IF(G6="",0,G6*1))+IFERROR(LEFT(H6,FIND("*",H6)-1)*MID(H6,FIND("*",H6)+1,3),IF(H6="",0,H6*1))+IFERROR(LEFT(I6,FIND("*",I6)-1)*MID(I6,FIND("*",I6)+1,3),IF(I6="",0,I6*1))+IFERROR(LEFT(J6,FIND("*",J6)-1)*MID(J6,FIND("*",J6)+1,3),IF(J6="",0,J6*1))+IFERROR(LEFT(K6,FIND("*",K6)-1)*MID(K6,FIND("*",K6)+1,3),IF(K6="",0,K6*1))+IFERROR(LEFT(L6,FIND("*",L6)-1)*MID(L6,FIND("*",L6)+1,3),IF(L6="",0,L6*1))+IFERROR(LEFT(M6,FIND("*",M6)-1)*MID(M6,FIND("*",M6)+1,3),IF(M6="",0,M6*1))+IFERROR(LEFT(N6,FIND("*",N6)-1)*MID(N6,FIND("*",N6)+1,3),IF(N6="",0,N6*1))+IFERROR(LEFT(O6,FIND("*",O6)-1)*MID(O6,FIND("*",O6)+1,3),IF(O6="",0,O6*1))+IFERROR(LEFT(P6,FIND("*",P6)-1)*MID(P6,FIND("*",P6)+1,3),IF(P6="",0,P6*1))+IFERROR(LEFT(Q6,FIND("*",Q6)-1)*MID(Q6,FIND("*",Q6)+1,3),IF(Q6="",0,Q6*1))+IFERROR(LEFT(R6,FIND("*",R6)-1)*MID(R6,FIND("*",R6)+1,3),IF(R6="",0,R6*1))+IFERROR(LEFT(S6,FIND("*",S6)-1)*MID(S6,FIND("*",S6)+1,3),IF(S6="",0,S6*1))+IFERROR(LEFT(T6,FIND("*",T6)-1)*MID(T6,FIND("*",T6)+1,3),IF(T6="",0,T6*1))+IFERROR(LEFT(U6,FIND("*",U6)-1)*MID(U6,FIND("*",U6)+1,3),IF(U6="",0,U6*1))+IFERROR(LEFT(V6,FIND("*",V6)-1)*MID(V6,FIND("*",V6)+1,3),IF(V6="",0,V6*1))</f>
        <v>45</v>
      </c>
      <c r="Y6" s="23"/>
    </row>
    <row r="7" customFormat="false" ht="15" hidden="false" customHeight="false" outlineLevel="0" collapsed="false">
      <c r="A7" s="24" t="s">
        <v>19</v>
      </c>
      <c r="B7" s="25" t="s">
        <v>13</v>
      </c>
      <c r="C7" s="25" t="s">
        <v>14</v>
      </c>
      <c r="D7" s="26" t="s">
        <v>12</v>
      </c>
      <c r="E7" s="27" t="s">
        <v>15</v>
      </c>
      <c r="F7" s="26"/>
      <c r="G7" s="26" t="s">
        <v>23</v>
      </c>
      <c r="H7" s="26"/>
      <c r="I7" s="26" t="s">
        <v>17</v>
      </c>
      <c r="J7" s="26"/>
      <c r="K7" s="26" t="s">
        <v>26</v>
      </c>
      <c r="L7" s="26"/>
      <c r="M7" s="26"/>
      <c r="N7" s="27"/>
      <c r="O7" s="26"/>
      <c r="P7" s="26"/>
      <c r="Q7" s="26"/>
      <c r="R7" s="26"/>
      <c r="S7" s="26"/>
      <c r="T7" s="26"/>
      <c r="U7" s="26"/>
      <c r="V7" s="26"/>
      <c r="W7" s="21" t="n">
        <v>33</v>
      </c>
      <c r="X7" s="22" t="n">
        <f aca="false">IFERROR(LEFT(E7,FIND("*",E7)-1)*MID(E7,FIND("*",E7)+1,3),IF(E7="",0,E7*1))+IFERROR(LEFT(F7,FIND("*",F7)-1)*MID(F7,FIND("*",F7)+1,3),IF(F7="",0,F7*1))+IFERROR(LEFT(G7,FIND("*",G7)-1)*MID(G7,FIND("*",G7)+1,3),IF(G7="",0,G7*1))+IFERROR(LEFT(H7,FIND("*",H7)-1)*MID(H7,FIND("*",H7)+1,3),IF(H7="",0,H7*1))+IFERROR(LEFT(I7,FIND("*",I7)-1)*MID(I7,FIND("*",I7)+1,3),IF(I7="",0,I7*1))+IFERROR(LEFT(J7,FIND("*",J7)-1)*MID(J7,FIND("*",J7)+1,3),IF(J7="",0,J7*1))+IFERROR(LEFT(K7,FIND("*",K7)-1)*MID(K7,FIND("*",K7)+1,3),IF(K7="",0,K7*1))+IFERROR(LEFT(L7,FIND("*",L7)-1)*MID(L7,FIND("*",L7)+1,3),IF(L7="",0,L7*1))+IFERROR(LEFT(M7,FIND("*",M7)-1)*MID(M7,FIND("*",M7)+1,3),IF(M7="",0,M7*1))+IFERROR(LEFT(N7,FIND("*",N7)-1)*MID(N7,FIND("*",N7)+1,3),IF(N7="",0,N7*1))+IFERROR(LEFT(O7,FIND("*",O7)-1)*MID(O7,FIND("*",O7)+1,3),IF(O7="",0,O7*1))+IFERROR(LEFT(P7,FIND("*",P7)-1)*MID(P7,FIND("*",P7)+1,3),IF(P7="",0,P7*1))+IFERROR(LEFT(Q7,FIND("*",Q7)-1)*MID(Q7,FIND("*",Q7)+1,3),IF(Q7="",0,Q7*1))+IFERROR(LEFT(R7,FIND("*",R7)-1)*MID(R7,FIND("*",R7)+1,3),IF(R7="",0,R7*1))+IFERROR(LEFT(S7,FIND("*",S7)-1)*MID(S7,FIND("*",S7)+1,3),IF(S7="",0,S7*1))+IFERROR(LEFT(T7,FIND("*",T7)-1)*MID(T7,FIND("*",T7)+1,3),IF(T7="",0,T7*1))+IFERROR(LEFT(U7,FIND("*",U7)-1)*MID(U7,FIND("*",U7)+1,3),IF(U7="",0,U7*1))+IFERROR(LEFT(V7,FIND("*",V7)-1)*MID(V7,FIND("*",V7)+1,3),IF(V7="",0,V7*1))</f>
        <v>33</v>
      </c>
      <c r="Y7" s="23" t="n">
        <f aca="false">SUM(W7:W9)</f>
        <v>109</v>
      </c>
    </row>
    <row r="8" customFormat="false" ht="15" hidden="false" customHeight="false" outlineLevel="0" collapsed="false">
      <c r="A8" s="24"/>
      <c r="B8" s="25" t="s">
        <v>21</v>
      </c>
      <c r="C8" s="25" t="s">
        <v>27</v>
      </c>
      <c r="D8" s="26" t="s">
        <v>12</v>
      </c>
      <c r="E8" s="27" t="s">
        <v>25</v>
      </c>
      <c r="F8" s="26"/>
      <c r="G8" s="26" t="s">
        <v>28</v>
      </c>
      <c r="H8" s="26" t="s">
        <v>29</v>
      </c>
      <c r="I8" s="26"/>
      <c r="J8" s="26"/>
      <c r="K8" s="26"/>
      <c r="L8" s="26"/>
      <c r="M8" s="26"/>
      <c r="N8" s="27"/>
      <c r="O8" s="26"/>
      <c r="P8" s="26"/>
      <c r="Q8" s="26"/>
      <c r="R8" s="26"/>
      <c r="S8" s="26"/>
      <c r="T8" s="26"/>
      <c r="U8" s="26"/>
      <c r="V8" s="26"/>
      <c r="W8" s="21" t="n">
        <v>42</v>
      </c>
      <c r="X8" s="22" t="n">
        <f aca="false">IFERROR(LEFT(E8,FIND("*",E8)-1)*MID(E8,FIND("*",E8)+1,3),IF(E8="",0,E8*1))+IFERROR(LEFT(F8,FIND("*",F8)-1)*MID(F8,FIND("*",F8)+1,3),IF(F8="",0,F8*1))+IFERROR(LEFT(G8,FIND("*",G8)-1)*MID(G8,FIND("*",G8)+1,3),IF(G8="",0,G8*1))+IFERROR(LEFT(H8,FIND("*",H8)-1)*MID(H8,FIND("*",H8)+1,3),IF(H8="",0,H8*1))+IFERROR(LEFT(I8,FIND("*",I8)-1)*MID(I8,FIND("*",I8)+1,3),IF(I8="",0,I8*1))+IFERROR(LEFT(J8,FIND("*",J8)-1)*MID(J8,FIND("*",J8)+1,3),IF(J8="",0,J8*1))+IFERROR(LEFT(K8,FIND("*",K8)-1)*MID(K8,FIND("*",K8)+1,3),IF(K8="",0,K8*1))+IFERROR(LEFT(L8,FIND("*",L8)-1)*MID(L8,FIND("*",L8)+1,3),IF(L8="",0,L8*1))+IFERROR(LEFT(M8,FIND("*",M8)-1)*MID(M8,FIND("*",M8)+1,3),IF(M8="",0,M8*1))+IFERROR(LEFT(N8,FIND("*",N8)-1)*MID(N8,FIND("*",N8)+1,3),IF(N8="",0,N8*1))+IFERROR(LEFT(O8,FIND("*",O8)-1)*MID(O8,FIND("*",O8)+1,3),IF(O8="",0,O8*1))+IFERROR(LEFT(P8,FIND("*",P8)-1)*MID(P8,FIND("*",P8)+1,3),IF(P8="",0,P8*1))+IFERROR(LEFT(Q8,FIND("*",Q8)-1)*MID(Q8,FIND("*",Q8)+1,3),IF(Q8="",0,Q8*1))+IFERROR(LEFT(R8,FIND("*",R8)-1)*MID(R8,FIND("*",R8)+1,3),IF(R8="",0,R8*1))+IFERROR(LEFT(S8,FIND("*",S8)-1)*MID(S8,FIND("*",S8)+1,3),IF(S8="",0,S8*1))+IFERROR(LEFT(T8,FIND("*",T8)-1)*MID(T8,FIND("*",T8)+1,3),IF(T8="",0,T8*1))+IFERROR(LEFT(U8,FIND("*",U8)-1)*MID(U8,FIND("*",U8)+1,3),IF(U8="",0,U8*1))+IFERROR(LEFT(V8,FIND("*",V8)-1)*MID(V8,FIND("*",V8)+1,3),IF(V8="",0,V8*1))</f>
        <v>42</v>
      </c>
      <c r="Y8" s="23"/>
    </row>
    <row r="9" customFormat="false" ht="15" hidden="false" customHeight="false" outlineLevel="0" collapsed="false">
      <c r="A9" s="24"/>
      <c r="B9" s="25" t="s">
        <v>30</v>
      </c>
      <c r="C9" s="25" t="s">
        <v>22</v>
      </c>
      <c r="D9" s="26" t="s">
        <v>12</v>
      </c>
      <c r="E9" s="27" t="s">
        <v>15</v>
      </c>
      <c r="F9" s="26"/>
      <c r="G9" s="26" t="s">
        <v>23</v>
      </c>
      <c r="H9" s="26"/>
      <c r="I9" s="26" t="s">
        <v>17</v>
      </c>
      <c r="J9" s="26"/>
      <c r="K9" s="26" t="s">
        <v>24</v>
      </c>
      <c r="L9" s="26"/>
      <c r="M9" s="26"/>
      <c r="N9" s="27"/>
      <c r="O9" s="26"/>
      <c r="P9" s="26"/>
      <c r="Q9" s="26" t="s">
        <v>31</v>
      </c>
      <c r="R9" s="26"/>
      <c r="S9" s="26" t="s">
        <v>15</v>
      </c>
      <c r="T9" s="26"/>
      <c r="U9" s="26" t="s">
        <v>32</v>
      </c>
      <c r="V9" s="26"/>
      <c r="W9" s="21" t="n">
        <v>34</v>
      </c>
      <c r="X9" s="22" t="n">
        <f aca="false">IFERROR(LEFT(E9,FIND("*",E9)-1)*MID(E9,FIND("*",E9)+1,3),IF(E9="",0,E9*1))+IFERROR(LEFT(F9,FIND("*",F9)-1)*MID(F9,FIND("*",F9)+1,3),IF(F9="",0,F9*1))+IFERROR(LEFT(G9,FIND("*",G9)-1)*MID(G9,FIND("*",G9)+1,3),IF(G9="",0,G9*1))+IFERROR(LEFT(H9,FIND("*",H9)-1)*MID(H9,FIND("*",H9)+1,3),IF(H9="",0,H9*1))+IFERROR(LEFT(I9,FIND("*",I9)-1)*MID(I9,FIND("*",I9)+1,3),IF(I9="",0,I9*1))+IFERROR(LEFT(J9,FIND("*",J9)-1)*MID(J9,FIND("*",J9)+1,3),IF(J9="",0,J9*1))+IFERROR(LEFT(K9,FIND("*",K9)-1)*MID(K9,FIND("*",K9)+1,3),IF(K9="",0,K9*1))+IFERROR(LEFT(L9,FIND("*",L9)-1)*MID(L9,FIND("*",L9)+1,3),IF(L9="",0,L9*1))+IFERROR(LEFT(M9,FIND("*",M9)-1)*MID(M9,FIND("*",M9)+1,3),IF(M9="",0,M9*1))+IFERROR(LEFT(N9,FIND("*",N9)-1)*MID(N9,FIND("*",N9)+1,3),IF(N9="",0,N9*1))+IFERROR(LEFT(O9,FIND("*",O9)-1)*MID(O9,FIND("*",O9)+1,3),IF(O9="",0,O9*1))+IFERROR(LEFT(P9,FIND("*",P9)-1)*MID(P9,FIND("*",P9)+1,3),IF(P9="",0,P9*1))+IFERROR(LEFT(Q9,FIND("*",Q9)-1)*MID(Q9,FIND("*",Q9)+1,3),IF(Q9="",0,Q9*1))+IFERROR(LEFT(R9,FIND("*",R9)-1)*MID(R9,FIND("*",R9)+1,3),IF(R9="",0,R9*1))+IFERROR(LEFT(S9,FIND("*",S9)-1)*MID(S9,FIND("*",S9)+1,3),IF(S9="",0,S9*1))+IFERROR(LEFT(T9,FIND("*",T9)-1)*MID(T9,FIND("*",T9)+1,3),IF(T9="",0,T9*1))+IFERROR(LEFT(U9,FIND("*",U9)-1)*MID(U9,FIND("*",U9)+1,3),IF(U9="",0,U9*1))+IFERROR(LEFT(V9,FIND("*",V9)-1)*MID(V9,FIND("*",V9)+1,3),IF(V9="",0,V9*1))</f>
        <v>34</v>
      </c>
      <c r="Y9" s="23"/>
    </row>
    <row r="10" customFormat="false" ht="15" hidden="false" customHeight="false" outlineLevel="0" collapsed="false">
      <c r="A10" s="17" t="s">
        <v>31</v>
      </c>
      <c r="B10" s="18" t="s">
        <v>13</v>
      </c>
      <c r="C10" s="18" t="s">
        <v>14</v>
      </c>
      <c r="D10" s="19" t="s">
        <v>12</v>
      </c>
      <c r="E10" s="20" t="s">
        <v>15</v>
      </c>
      <c r="F10" s="19"/>
      <c r="G10" s="19" t="s">
        <v>23</v>
      </c>
      <c r="H10" s="19"/>
      <c r="I10" s="19" t="s">
        <v>17</v>
      </c>
      <c r="J10" s="19"/>
      <c r="K10" s="19" t="s">
        <v>26</v>
      </c>
      <c r="L10" s="19"/>
      <c r="M10" s="19"/>
      <c r="N10" s="20"/>
      <c r="O10" s="19"/>
      <c r="P10" s="19"/>
      <c r="Q10" s="19"/>
      <c r="R10" s="19"/>
      <c r="S10" s="19"/>
      <c r="T10" s="19"/>
      <c r="U10" s="19"/>
      <c r="V10" s="19"/>
      <c r="W10" s="21" t="n">
        <v>33</v>
      </c>
      <c r="X10" s="22" t="n">
        <f aca="false">IFERROR(LEFT(E10,FIND("*",E10)-1)*MID(E10,FIND("*",E10)+1,3),IF(E10="",0,E10*1))+IFERROR(LEFT(F10,FIND("*",F10)-1)*MID(F10,FIND("*",F10)+1,3),IF(F10="",0,F10*1))+IFERROR(LEFT(G10,FIND("*",G10)-1)*MID(G10,FIND("*",G10)+1,3),IF(G10="",0,G10*1))+IFERROR(LEFT(H10,FIND("*",H10)-1)*MID(H10,FIND("*",H10)+1,3),IF(H10="",0,H10*1))+IFERROR(LEFT(I10,FIND("*",I10)-1)*MID(I10,FIND("*",I10)+1,3),IF(I10="",0,I10*1))+IFERROR(LEFT(J10,FIND("*",J10)-1)*MID(J10,FIND("*",J10)+1,3),IF(J10="",0,J10*1))+IFERROR(LEFT(K10,FIND("*",K10)-1)*MID(K10,FIND("*",K10)+1,3),IF(K10="",0,K10*1))+IFERROR(LEFT(L10,FIND("*",L10)-1)*MID(L10,FIND("*",L10)+1,3),IF(L10="",0,L10*1))+IFERROR(LEFT(M10,FIND("*",M10)-1)*MID(M10,FIND("*",M10)+1,3),IF(M10="",0,M10*1))+IFERROR(LEFT(N10,FIND("*",N10)-1)*MID(N10,FIND("*",N10)+1,3),IF(N10="",0,N10*1))+IFERROR(LEFT(O10,FIND("*",O10)-1)*MID(O10,FIND("*",O10)+1,3),IF(O10="",0,O10*1))+IFERROR(LEFT(P10,FIND("*",P10)-1)*MID(P10,FIND("*",P10)+1,3),IF(P10="",0,P10*1))+IFERROR(LEFT(Q10,FIND("*",Q10)-1)*MID(Q10,FIND("*",Q10)+1,3),IF(Q10="",0,Q10*1))+IFERROR(LEFT(R10,FIND("*",R10)-1)*MID(R10,FIND("*",R10)+1,3),IF(R10="",0,R10*1))+IFERROR(LEFT(S10,FIND("*",S10)-1)*MID(S10,FIND("*",S10)+1,3),IF(S10="",0,S10*1))+IFERROR(LEFT(T10,FIND("*",T10)-1)*MID(T10,FIND("*",T10)+1,3),IF(T10="",0,T10*1))+IFERROR(LEFT(U10,FIND("*",U10)-1)*MID(U10,FIND("*",U10)+1,3),IF(U10="",0,U10*1))+IFERROR(LEFT(V10,FIND("*",V10)-1)*MID(V10,FIND("*",V10)+1,3),IF(V10="",0,V10*1))</f>
        <v>33</v>
      </c>
      <c r="Y10" s="23" t="n">
        <f aca="false">SUM(W10:W12)</f>
        <v>100</v>
      </c>
    </row>
    <row r="11" customFormat="false" ht="15" hidden="false" customHeight="false" outlineLevel="0" collapsed="false">
      <c r="A11" s="17"/>
      <c r="B11" s="18" t="s">
        <v>21</v>
      </c>
      <c r="C11" s="18" t="s">
        <v>27</v>
      </c>
      <c r="D11" s="19" t="s">
        <v>12</v>
      </c>
      <c r="E11" s="20" t="s">
        <v>15</v>
      </c>
      <c r="F11" s="19"/>
      <c r="G11" s="19" t="s">
        <v>23</v>
      </c>
      <c r="H11" s="19"/>
      <c r="I11" s="19" t="s">
        <v>17</v>
      </c>
      <c r="J11" s="19"/>
      <c r="K11" s="19" t="s">
        <v>17</v>
      </c>
      <c r="L11" s="19" t="s">
        <v>24</v>
      </c>
      <c r="M11" s="19"/>
      <c r="N11" s="20"/>
      <c r="O11" s="19"/>
      <c r="P11" s="19" t="s">
        <v>17</v>
      </c>
      <c r="Q11" s="19"/>
      <c r="R11" s="19"/>
      <c r="S11" s="19"/>
      <c r="T11" s="19"/>
      <c r="U11" s="19"/>
      <c r="V11" s="19"/>
      <c r="W11" s="21" t="n">
        <v>31</v>
      </c>
      <c r="X11" s="22" t="n">
        <f aca="false">IFERROR(LEFT(E11,FIND("*",E11)-1)*MID(E11,FIND("*",E11)+1,3),IF(E11="",0,E11*1))+IFERROR(LEFT(F11,FIND("*",F11)-1)*MID(F11,FIND("*",F11)+1,3),IF(F11="",0,F11*1))+IFERROR(LEFT(G11,FIND("*",G11)-1)*MID(G11,FIND("*",G11)+1,3),IF(G11="",0,G11*1))+IFERROR(LEFT(H11,FIND("*",H11)-1)*MID(H11,FIND("*",H11)+1,3),IF(H11="",0,H11*1))+IFERROR(LEFT(I11,FIND("*",I11)-1)*MID(I11,FIND("*",I11)+1,3),IF(I11="",0,I11*1))+IFERROR(LEFT(J11,FIND("*",J11)-1)*MID(J11,FIND("*",J11)+1,3),IF(J11="",0,J11*1))+IFERROR(LEFT(K11,FIND("*",K11)-1)*MID(K11,FIND("*",K11)+1,3),IF(K11="",0,K11*1))+IFERROR(LEFT(L11,FIND("*",L11)-1)*MID(L11,FIND("*",L11)+1,3),IF(L11="",0,L11*1))+IFERROR(LEFT(M11,FIND("*",M11)-1)*MID(M11,FIND("*",M11)+1,3),IF(M11="",0,M11*1))+IFERROR(LEFT(N11,FIND("*",N11)-1)*MID(N11,FIND("*",N11)+1,3),IF(N11="",0,N11*1))+IFERROR(LEFT(O11,FIND("*",O11)-1)*MID(O11,FIND("*",O11)+1,3),IF(O11="",0,O11*1))+IFERROR(LEFT(P11,FIND("*",P11)-1)*MID(P11,FIND("*",P11)+1,3),IF(P11="",0,P11*1))+IFERROR(LEFT(Q11,FIND("*",Q11)-1)*MID(Q11,FIND("*",Q11)+1,3),IF(Q11="",0,Q11*1))+IFERROR(LEFT(R11,FIND("*",R11)-1)*MID(R11,FIND("*",R11)+1,3),IF(R11="",0,R11*1))+IFERROR(LEFT(S11,FIND("*",S11)-1)*MID(S11,FIND("*",S11)+1,3),IF(S11="",0,S11*1))+IFERROR(LEFT(T11,FIND("*",T11)-1)*MID(T11,FIND("*",T11)+1,3),IF(T11="",0,T11*1))+IFERROR(LEFT(U11,FIND("*",U11)-1)*MID(U11,FIND("*",U11)+1,3),IF(U11="",0,U11*1))+IFERROR(LEFT(V11,FIND("*",V11)-1)*MID(V11,FIND("*",V11)+1,3),IF(V11="",0,V11*1))</f>
        <v>31</v>
      </c>
      <c r="Y11" s="23"/>
    </row>
    <row r="12" customFormat="false" ht="15" hidden="false" customHeight="false" outlineLevel="0" collapsed="false">
      <c r="A12" s="17"/>
      <c r="B12" s="18" t="s">
        <v>30</v>
      </c>
      <c r="C12" s="18" t="s">
        <v>22</v>
      </c>
      <c r="D12" s="19" t="s">
        <v>12</v>
      </c>
      <c r="E12" s="20" t="s">
        <v>15</v>
      </c>
      <c r="F12" s="19"/>
      <c r="G12" s="19" t="s">
        <v>23</v>
      </c>
      <c r="H12" s="19"/>
      <c r="I12" s="19" t="s">
        <v>17</v>
      </c>
      <c r="J12" s="19"/>
      <c r="K12" s="19" t="s">
        <v>33</v>
      </c>
      <c r="L12" s="19"/>
      <c r="M12" s="19"/>
      <c r="N12" s="20"/>
      <c r="O12" s="19"/>
      <c r="P12" s="19"/>
      <c r="Q12" s="19"/>
      <c r="R12" s="19"/>
      <c r="S12" s="19"/>
      <c r="T12" s="19"/>
      <c r="U12" s="19"/>
      <c r="V12" s="19"/>
      <c r="W12" s="21" t="n">
        <v>36</v>
      </c>
      <c r="X12" s="22" t="n">
        <f aca="false">IFERROR(LEFT(E12,FIND("*",E12)-1)*MID(E12,FIND("*",E12)+1,3),IF(E12="",0,E12*1))+IFERROR(LEFT(F12,FIND("*",F12)-1)*MID(F12,FIND("*",F12)+1,3),IF(F12="",0,F12*1))+IFERROR(LEFT(G12,FIND("*",G12)-1)*MID(G12,FIND("*",G12)+1,3),IF(G12="",0,G12*1))+IFERROR(LEFT(H12,FIND("*",H12)-1)*MID(H12,FIND("*",H12)+1,3),IF(H12="",0,H12*1))+IFERROR(LEFT(I12,FIND("*",I12)-1)*MID(I12,FIND("*",I12)+1,3),IF(I12="",0,I12*1))+IFERROR(LEFT(J12,FIND("*",J12)-1)*MID(J12,FIND("*",J12)+1,3),IF(J12="",0,J12*1))+IFERROR(LEFT(K12,FIND("*",K12)-1)*MID(K12,FIND("*",K12)+1,3),IF(K12="",0,K12*1))+IFERROR(LEFT(L12,FIND("*",L12)-1)*MID(L12,FIND("*",L12)+1,3),IF(L12="",0,L12*1))+IFERROR(LEFT(M12,FIND("*",M12)-1)*MID(M12,FIND("*",M12)+1,3),IF(M12="",0,M12*1))+IFERROR(LEFT(N12,FIND("*",N12)-1)*MID(N12,FIND("*",N12)+1,3),IF(N12="",0,N12*1))+IFERROR(LEFT(O12,FIND("*",O12)-1)*MID(O12,FIND("*",O12)+1,3),IF(O12="",0,O12*1))+IFERROR(LEFT(P12,FIND("*",P12)-1)*MID(P12,FIND("*",P12)+1,3),IF(P12="",0,P12*1))+IFERROR(LEFT(Q12,FIND("*",Q12)-1)*MID(Q12,FIND("*",Q12)+1,3),IF(Q12="",0,Q12*1))+IFERROR(LEFT(R12,FIND("*",R12)-1)*MID(R12,FIND("*",R12)+1,3),IF(R12="",0,R12*1))+IFERROR(LEFT(S12,FIND("*",S12)-1)*MID(S12,FIND("*",S12)+1,3),IF(S12="",0,S12*1))+IFERROR(LEFT(T12,FIND("*",T12)-1)*MID(T12,FIND("*",T12)+1,3),IF(T12="",0,T12*1))+IFERROR(LEFT(U12,FIND("*",U12)-1)*MID(U12,FIND("*",U12)+1,3),IF(U12="",0,U12*1))+IFERROR(LEFT(V12,FIND("*",V12)-1)*MID(V12,FIND("*",V12)+1,3),IF(V12="",0,V12*1))</f>
        <v>36</v>
      </c>
      <c r="Y12" s="23"/>
    </row>
    <row r="13" customFormat="false" ht="15" hidden="false" customHeight="false" outlineLevel="0" collapsed="false">
      <c r="A13" s="24" t="s">
        <v>23</v>
      </c>
      <c r="B13" s="25" t="s">
        <v>13</v>
      </c>
      <c r="C13" s="25" t="s">
        <v>14</v>
      </c>
      <c r="D13" s="26" t="s">
        <v>12</v>
      </c>
      <c r="E13" s="27"/>
      <c r="F13" s="26" t="s">
        <v>15</v>
      </c>
      <c r="G13" s="26"/>
      <c r="H13" s="26" t="s">
        <v>15</v>
      </c>
      <c r="I13" s="26"/>
      <c r="J13" s="26" t="s">
        <v>34</v>
      </c>
      <c r="K13" s="26"/>
      <c r="L13" s="26"/>
      <c r="M13" s="26"/>
      <c r="N13" s="27"/>
      <c r="O13" s="26"/>
      <c r="P13" s="26"/>
      <c r="Q13" s="26"/>
      <c r="R13" s="26"/>
      <c r="S13" s="26"/>
      <c r="T13" s="26"/>
      <c r="U13" s="26"/>
      <c r="V13" s="26"/>
      <c r="W13" s="21" t="n">
        <v>30</v>
      </c>
      <c r="X13" s="22" t="n">
        <f aca="false">IFERROR(LEFT(E13,FIND("*",E13)-1)*MID(E13,FIND("*",E13)+1,3),IF(E13="",0,E13*1))+IFERROR(LEFT(F13,FIND("*",F13)-1)*MID(F13,FIND("*",F13)+1,3),IF(F13="",0,F13*1))+IFERROR(LEFT(G13,FIND("*",G13)-1)*MID(G13,FIND("*",G13)+1,3),IF(G13="",0,G13*1))+IFERROR(LEFT(H13,FIND("*",H13)-1)*MID(H13,FIND("*",H13)+1,3),IF(H13="",0,H13*1))+IFERROR(LEFT(I13,FIND("*",I13)-1)*MID(I13,FIND("*",I13)+1,3),IF(I13="",0,I13*1))+IFERROR(LEFT(J13,FIND("*",J13)-1)*MID(J13,FIND("*",J13)+1,3),IF(J13="",0,J13*1))+IFERROR(LEFT(K13,FIND("*",K13)-1)*MID(K13,FIND("*",K13)+1,3),IF(K13="",0,K13*1))+IFERROR(LEFT(L13,FIND("*",L13)-1)*MID(L13,FIND("*",L13)+1,3),IF(L13="",0,L13*1))+IFERROR(LEFT(M13,FIND("*",M13)-1)*MID(M13,FIND("*",M13)+1,3),IF(M13="",0,M13*1))+IFERROR(LEFT(N13,FIND("*",N13)-1)*MID(N13,FIND("*",N13)+1,3),IF(N13="",0,N13*1))+IFERROR(LEFT(O13,FIND("*",O13)-1)*MID(O13,FIND("*",O13)+1,3),IF(O13="",0,O13*1))+IFERROR(LEFT(P13,FIND("*",P13)-1)*MID(P13,FIND("*",P13)+1,3),IF(P13="",0,P13*1))+IFERROR(LEFT(Q13,FIND("*",Q13)-1)*MID(Q13,FIND("*",Q13)+1,3),IF(Q13="",0,Q13*1))+IFERROR(LEFT(R13,FIND("*",R13)-1)*MID(R13,FIND("*",R13)+1,3),IF(R13="",0,R13*1))+IFERROR(LEFT(S13,FIND("*",S13)-1)*MID(S13,FIND("*",S13)+1,3),IF(S13="",0,S13*1))+IFERROR(LEFT(T13,FIND("*",T13)-1)*MID(T13,FIND("*",T13)+1,3),IF(T13="",0,T13*1))+IFERROR(LEFT(U13,FIND("*",U13)-1)*MID(U13,FIND("*",U13)+1,3),IF(U13="",0,U13*1))+IFERROR(LEFT(V13,FIND("*",V13)-1)*MID(V13,FIND("*",V13)+1,3),IF(V13="",0,V13*1))</f>
        <v>30</v>
      </c>
      <c r="Y13" s="23" t="n">
        <f aca="false">SUM(W13:W16)</f>
        <v>140</v>
      </c>
    </row>
    <row r="14" customFormat="false" ht="15" hidden="false" customHeight="false" outlineLevel="0" collapsed="false">
      <c r="A14" s="24"/>
      <c r="B14" s="25" t="s">
        <v>21</v>
      </c>
      <c r="C14" s="25" t="s">
        <v>27</v>
      </c>
      <c r="D14" s="26" t="s">
        <v>12</v>
      </c>
      <c r="E14" s="27" t="s">
        <v>15</v>
      </c>
      <c r="F14" s="26"/>
      <c r="G14" s="26" t="s">
        <v>23</v>
      </c>
      <c r="H14" s="26"/>
      <c r="I14" s="26" t="s">
        <v>17</v>
      </c>
      <c r="J14" s="26"/>
      <c r="K14" s="26" t="s">
        <v>17</v>
      </c>
      <c r="L14" s="26" t="s">
        <v>35</v>
      </c>
      <c r="M14" s="26"/>
      <c r="N14" s="27"/>
      <c r="O14" s="26"/>
      <c r="P14" s="26"/>
      <c r="Q14" s="26"/>
      <c r="R14" s="26"/>
      <c r="S14" s="26"/>
      <c r="T14" s="26"/>
      <c r="U14" s="26"/>
      <c r="V14" s="26"/>
      <c r="W14" s="21" t="n">
        <v>27</v>
      </c>
      <c r="X14" s="22" t="n">
        <f aca="false">IFERROR(LEFT(E14,FIND("*",E14)-1)*MID(E14,FIND("*",E14)+1,3),IF(E14="",0,E14*1))+IFERROR(LEFT(F14,FIND("*",F14)-1)*MID(F14,FIND("*",F14)+1,3),IF(F14="",0,F14*1))+IFERROR(LEFT(G14,FIND("*",G14)-1)*MID(G14,FIND("*",G14)+1,3),IF(G14="",0,G14*1))+IFERROR(LEFT(H14,FIND("*",H14)-1)*MID(H14,FIND("*",H14)+1,3),IF(H14="",0,H14*1))+IFERROR(LEFT(I14,FIND("*",I14)-1)*MID(I14,FIND("*",I14)+1,3),IF(I14="",0,I14*1))+IFERROR(LEFT(J14,FIND("*",J14)-1)*MID(J14,FIND("*",J14)+1,3),IF(J14="",0,J14*1))+IFERROR(LEFT(K14,FIND("*",K14)-1)*MID(K14,FIND("*",K14)+1,3),IF(K14="",0,K14*1))+IFERROR(LEFT(L14,FIND("*",L14)-1)*MID(L14,FIND("*",L14)+1,3),IF(L14="",0,L14*1))+IFERROR(LEFT(M14,FIND("*",M14)-1)*MID(M14,FIND("*",M14)+1,3),IF(M14="",0,M14*1))+IFERROR(LEFT(N14,FIND("*",N14)-1)*MID(N14,FIND("*",N14)+1,3),IF(N14="",0,N14*1))+IFERROR(LEFT(O14,FIND("*",O14)-1)*MID(O14,FIND("*",O14)+1,3),IF(O14="",0,O14*1))+IFERROR(LEFT(P14,FIND("*",P14)-1)*MID(P14,FIND("*",P14)+1,3),IF(P14="",0,P14*1))+IFERROR(LEFT(Q14,FIND("*",Q14)-1)*MID(Q14,FIND("*",Q14)+1,3),IF(Q14="",0,Q14*1))+IFERROR(LEFT(R14,FIND("*",R14)-1)*MID(R14,FIND("*",R14)+1,3),IF(R14="",0,R14*1))+IFERROR(LEFT(S14,FIND("*",S14)-1)*MID(S14,FIND("*",S14)+1,3),IF(S14="",0,S14*1))+IFERROR(LEFT(T14,FIND("*",T14)-1)*MID(T14,FIND("*",T14)+1,3),IF(T14="",0,T14*1))+IFERROR(LEFT(U14,FIND("*",U14)-1)*MID(U14,FIND("*",U14)+1,3),IF(U14="",0,U14*1))+IFERROR(LEFT(V14,FIND("*",V14)-1)*MID(V14,FIND("*",V14)+1,3),IF(V14="",0,V14*1))</f>
        <v>27</v>
      </c>
      <c r="Y14" s="23"/>
    </row>
    <row r="15" customFormat="false" ht="15" hidden="false" customHeight="false" outlineLevel="0" collapsed="false">
      <c r="A15" s="24"/>
      <c r="B15" s="25"/>
      <c r="C15" s="25"/>
      <c r="D15" s="26" t="s">
        <v>19</v>
      </c>
      <c r="E15" s="27" t="s">
        <v>15</v>
      </c>
      <c r="F15" s="26"/>
      <c r="G15" s="26" t="s">
        <v>15</v>
      </c>
      <c r="H15" s="26"/>
      <c r="I15" s="26" t="s">
        <v>36</v>
      </c>
      <c r="J15" s="26"/>
      <c r="K15" s="26"/>
      <c r="L15" s="26"/>
      <c r="M15" s="26"/>
      <c r="N15" s="27"/>
      <c r="O15" s="26"/>
      <c r="P15" s="26"/>
      <c r="Q15" s="26"/>
      <c r="R15" s="26"/>
      <c r="S15" s="26"/>
      <c r="T15" s="26"/>
      <c r="U15" s="26"/>
      <c r="V15" s="26"/>
      <c r="W15" s="21" t="n">
        <v>30</v>
      </c>
      <c r="X15" s="22" t="n">
        <f aca="false">IFERROR(LEFT(E15,FIND("*",E15)-1)*MID(E15,FIND("*",E15)+1,3),IF(E15="",0,E15*1))+IFERROR(LEFT(F15,FIND("*",F15)-1)*MID(F15,FIND("*",F15)+1,3),IF(F15="",0,F15*1))+IFERROR(LEFT(G15,FIND("*",G15)-1)*MID(G15,FIND("*",G15)+1,3),IF(G15="",0,G15*1))+IFERROR(LEFT(H15,FIND("*",H15)-1)*MID(H15,FIND("*",H15)+1,3),IF(H15="",0,H15*1))+IFERROR(LEFT(I15,FIND("*",I15)-1)*MID(I15,FIND("*",I15)+1,3),IF(I15="",0,I15*1))+IFERROR(LEFT(J15,FIND("*",J15)-1)*MID(J15,FIND("*",J15)+1,3),IF(J15="",0,J15*1))+IFERROR(LEFT(K15,FIND("*",K15)-1)*MID(K15,FIND("*",K15)+1,3),IF(K15="",0,K15*1))+IFERROR(LEFT(L15,FIND("*",L15)-1)*MID(L15,FIND("*",L15)+1,3),IF(L15="",0,L15*1))+IFERROR(LEFT(M15,FIND("*",M15)-1)*MID(M15,FIND("*",M15)+1,3),IF(M15="",0,M15*1))+IFERROR(LEFT(N15,FIND("*",N15)-1)*MID(N15,FIND("*",N15)+1,3),IF(N15="",0,N15*1))+IFERROR(LEFT(O15,FIND("*",O15)-1)*MID(O15,FIND("*",O15)+1,3),IF(O15="",0,O15*1))+IFERROR(LEFT(P15,FIND("*",P15)-1)*MID(P15,FIND("*",P15)+1,3),IF(P15="",0,P15*1))+IFERROR(LEFT(Q15,FIND("*",Q15)-1)*MID(Q15,FIND("*",Q15)+1,3),IF(Q15="",0,Q15*1))+IFERROR(LEFT(R15,FIND("*",R15)-1)*MID(R15,FIND("*",R15)+1,3),IF(R15="",0,R15*1))+IFERROR(LEFT(S15,FIND("*",S15)-1)*MID(S15,FIND("*",S15)+1,3),IF(S15="",0,S15*1))+IFERROR(LEFT(T15,FIND("*",T15)-1)*MID(T15,FIND("*",T15)+1,3),IF(T15="",0,T15*1))+IFERROR(LEFT(U15,FIND("*",U15)-1)*MID(U15,FIND("*",U15)+1,3),IF(U15="",0,U15*1))+IFERROR(LEFT(V15,FIND("*",V15)-1)*MID(V15,FIND("*",V15)+1,3),IF(V15="",0,V15*1))</f>
        <v>30</v>
      </c>
      <c r="Y15" s="23"/>
    </row>
    <row r="16" customFormat="false" ht="15" hidden="false" customHeight="false" outlineLevel="0" collapsed="false">
      <c r="A16" s="24"/>
      <c r="B16" s="25" t="s">
        <v>30</v>
      </c>
      <c r="C16" s="25" t="s">
        <v>22</v>
      </c>
      <c r="D16" s="26" t="s">
        <v>12</v>
      </c>
      <c r="E16" s="27" t="s">
        <v>25</v>
      </c>
      <c r="F16" s="26"/>
      <c r="G16" s="26" t="s">
        <v>15</v>
      </c>
      <c r="H16" s="26"/>
      <c r="I16" s="26" t="s">
        <v>16</v>
      </c>
      <c r="J16" s="26"/>
      <c r="K16" s="26" t="s">
        <v>17</v>
      </c>
      <c r="L16" s="26" t="s">
        <v>24</v>
      </c>
      <c r="M16" s="26"/>
      <c r="N16" s="27"/>
      <c r="O16" s="26"/>
      <c r="P16" s="26" t="s">
        <v>17</v>
      </c>
      <c r="Q16" s="26"/>
      <c r="R16" s="26" t="s">
        <v>23</v>
      </c>
      <c r="S16" s="26"/>
      <c r="T16" s="26" t="s">
        <v>25</v>
      </c>
      <c r="U16" s="26"/>
      <c r="V16" s="26" t="s">
        <v>37</v>
      </c>
      <c r="W16" s="21" t="n">
        <v>53</v>
      </c>
      <c r="X16" s="22" t="n">
        <f aca="false">IFERROR(LEFT(E16,FIND("*",E16)-1)*MID(E16,FIND("*",E16)+1,3),IF(E16="",0,E16*1))+IFERROR(LEFT(F16,FIND("*",F16)-1)*MID(F16,FIND("*",F16)+1,3),IF(F16="",0,F16*1))+IFERROR(LEFT(G16,FIND("*",G16)-1)*MID(G16,FIND("*",G16)+1,3),IF(G16="",0,G16*1))+IFERROR(LEFT(H16,FIND("*",H16)-1)*MID(H16,FIND("*",H16)+1,3),IF(H16="",0,H16*1))+IFERROR(LEFT(I16,FIND("*",I16)-1)*MID(I16,FIND("*",I16)+1,3),IF(I16="",0,I16*1))+IFERROR(LEFT(J16,FIND("*",J16)-1)*MID(J16,FIND("*",J16)+1,3),IF(J16="",0,J16*1))+IFERROR(LEFT(K16,FIND("*",K16)-1)*MID(K16,FIND("*",K16)+1,3),IF(K16="",0,K16*1))+IFERROR(LEFT(L16,FIND("*",L16)-1)*MID(L16,FIND("*",L16)+1,3),IF(L16="",0,L16*1))+IFERROR(LEFT(M16,FIND("*",M16)-1)*MID(M16,FIND("*",M16)+1,3),IF(M16="",0,M16*1))+IFERROR(LEFT(N16,FIND("*",N16)-1)*MID(N16,FIND("*",N16)+1,3),IF(N16="",0,N16*1))+IFERROR(LEFT(O16,FIND("*",O16)-1)*MID(O16,FIND("*",O16)+1,3),IF(O16="",0,O16*1))+IFERROR(LEFT(P16,FIND("*",P16)-1)*MID(P16,FIND("*",P16)+1,3),IF(P16="",0,P16*1))+IFERROR(LEFT(Q16,FIND("*",Q16)-1)*MID(Q16,FIND("*",Q16)+1,3),IF(Q16="",0,Q16*1))+IFERROR(LEFT(R16,FIND("*",R16)-1)*MID(R16,FIND("*",R16)+1,3),IF(R16="",0,R16*1))+IFERROR(LEFT(S16,FIND("*",S16)-1)*MID(S16,FIND("*",S16)+1,3),IF(S16="",0,S16*1))+IFERROR(LEFT(T16,FIND("*",T16)-1)*MID(T16,FIND("*",T16)+1,3),IF(T16="",0,T16*1))+IFERROR(LEFT(U16,FIND("*",U16)-1)*MID(U16,FIND("*",U16)+1,3),IF(U16="",0,U16*1))+IFERROR(LEFT(V16,FIND("*",V16)-1)*MID(V16,FIND("*",V16)+1,3),IF(V16="",0,V16*1))</f>
        <v>53</v>
      </c>
      <c r="Y16" s="23"/>
    </row>
    <row r="17" customFormat="false" ht="15" hidden="false" customHeight="false" outlineLevel="0" collapsed="false">
      <c r="A17" s="17" t="s">
        <v>15</v>
      </c>
      <c r="B17" s="18" t="s">
        <v>13</v>
      </c>
      <c r="C17" s="18" t="s">
        <v>14</v>
      </c>
      <c r="D17" s="19" t="s">
        <v>12</v>
      </c>
      <c r="E17" s="20" t="s">
        <v>15</v>
      </c>
      <c r="F17" s="19"/>
      <c r="G17" s="19" t="s">
        <v>16</v>
      </c>
      <c r="H17" s="19"/>
      <c r="I17" s="19" t="s">
        <v>17</v>
      </c>
      <c r="J17" s="19"/>
      <c r="K17" s="19" t="s">
        <v>26</v>
      </c>
      <c r="L17" s="19"/>
      <c r="M17" s="19"/>
      <c r="N17" s="20"/>
      <c r="O17" s="19"/>
      <c r="P17" s="19"/>
      <c r="Q17" s="19"/>
      <c r="R17" s="19"/>
      <c r="S17" s="19"/>
      <c r="T17" s="19"/>
      <c r="U17" s="19"/>
      <c r="V17" s="19"/>
      <c r="W17" s="21" t="n">
        <v>37</v>
      </c>
      <c r="X17" s="22" t="n">
        <f aca="false">IFERROR(LEFT(E17,FIND("*",E17)-1)*MID(E17,FIND("*",E17)+1,3),IF(E17="",0,E17*1))+IFERROR(LEFT(F17,FIND("*",F17)-1)*MID(F17,FIND("*",F17)+1,3),IF(F17="",0,F17*1))+IFERROR(LEFT(G17,FIND("*",G17)-1)*MID(G17,FIND("*",G17)+1,3),IF(G17="",0,G17*1))+IFERROR(LEFT(H17,FIND("*",H17)-1)*MID(H17,FIND("*",H17)+1,3),IF(H17="",0,H17*1))+IFERROR(LEFT(I17,FIND("*",I17)-1)*MID(I17,FIND("*",I17)+1,3),IF(I17="",0,I17*1))+IFERROR(LEFT(J17,FIND("*",J17)-1)*MID(J17,FIND("*",J17)+1,3),IF(J17="",0,J17*1))+IFERROR(LEFT(K17,FIND("*",K17)-1)*MID(K17,FIND("*",K17)+1,3),IF(K17="",0,K17*1))+IFERROR(LEFT(L17,FIND("*",L17)-1)*MID(L17,FIND("*",L17)+1,3),IF(L17="",0,L17*1))+IFERROR(LEFT(M17,FIND("*",M17)-1)*MID(M17,FIND("*",M17)+1,3),IF(M17="",0,M17*1))+IFERROR(LEFT(N17,FIND("*",N17)-1)*MID(N17,FIND("*",N17)+1,3),IF(N17="",0,N17*1))+IFERROR(LEFT(O17,FIND("*",O17)-1)*MID(O17,FIND("*",O17)+1,3),IF(O17="",0,O17*1))+IFERROR(LEFT(P17,FIND("*",P17)-1)*MID(P17,FIND("*",P17)+1,3),IF(P17="",0,P17*1))+IFERROR(LEFT(Q17,FIND("*",Q17)-1)*MID(Q17,FIND("*",Q17)+1,3),IF(Q17="",0,Q17*1))+IFERROR(LEFT(R17,FIND("*",R17)-1)*MID(R17,FIND("*",R17)+1,3),IF(R17="",0,R17*1))+IFERROR(LEFT(S17,FIND("*",S17)-1)*MID(S17,FIND("*",S17)+1,3),IF(S17="",0,S17*1))+IFERROR(LEFT(T17,FIND("*",T17)-1)*MID(T17,FIND("*",T17)+1,3),IF(T17="",0,T17*1))+IFERROR(LEFT(U17,FIND("*",U17)-1)*MID(U17,FIND("*",U17)+1,3),IF(U17="",0,U17*1))+IFERROR(LEFT(V17,FIND("*",V17)-1)*MID(V17,FIND("*",V17)+1,3),IF(V17="",0,V17*1))</f>
        <v>37</v>
      </c>
      <c r="Y17" s="23" t="n">
        <f aca="false">SUM(W17:W20)</f>
        <v>183</v>
      </c>
    </row>
    <row r="18" customFormat="false" ht="15" hidden="false" customHeight="false" outlineLevel="0" collapsed="false">
      <c r="A18" s="17"/>
      <c r="B18" s="18"/>
      <c r="C18" s="18"/>
      <c r="D18" s="19" t="s">
        <v>19</v>
      </c>
      <c r="E18" s="20" t="s">
        <v>15</v>
      </c>
      <c r="F18" s="19"/>
      <c r="G18" s="19" t="s">
        <v>15</v>
      </c>
      <c r="H18" s="19"/>
      <c r="I18" s="19" t="s">
        <v>38</v>
      </c>
      <c r="J18" s="19"/>
      <c r="K18" s="19"/>
      <c r="L18" s="19"/>
      <c r="M18" s="19"/>
      <c r="N18" s="20"/>
      <c r="O18" s="19"/>
      <c r="P18" s="19"/>
      <c r="Q18" s="19"/>
      <c r="R18" s="19"/>
      <c r="S18" s="19"/>
      <c r="T18" s="19"/>
      <c r="U18" s="19"/>
      <c r="V18" s="19"/>
      <c r="W18" s="21" t="n">
        <v>35</v>
      </c>
      <c r="X18" s="22" t="n">
        <f aca="false">IFERROR(LEFT(E18,FIND("*",E18)-1)*MID(E18,FIND("*",E18)+1,3),IF(E18="",0,E18*1))+IFERROR(LEFT(F18,FIND("*",F18)-1)*MID(F18,FIND("*",F18)+1,3),IF(F18="",0,F18*1))+IFERROR(LEFT(G18,FIND("*",G18)-1)*MID(G18,FIND("*",G18)+1,3),IF(G18="",0,G18*1))+IFERROR(LEFT(H18,FIND("*",H18)-1)*MID(H18,FIND("*",H18)+1,3),IF(H18="",0,H18*1))+IFERROR(LEFT(I18,FIND("*",I18)-1)*MID(I18,FIND("*",I18)+1,3),IF(I18="",0,I18*1))+IFERROR(LEFT(J18,FIND("*",J18)-1)*MID(J18,FIND("*",J18)+1,3),IF(J18="",0,J18*1))+IFERROR(LEFT(K18,FIND("*",K18)-1)*MID(K18,FIND("*",K18)+1,3),IF(K18="",0,K18*1))+IFERROR(LEFT(L18,FIND("*",L18)-1)*MID(L18,FIND("*",L18)+1,3),IF(L18="",0,L18*1))+IFERROR(LEFT(M18,FIND("*",M18)-1)*MID(M18,FIND("*",M18)+1,3),IF(M18="",0,M18*1))+IFERROR(LEFT(N18,FIND("*",N18)-1)*MID(N18,FIND("*",N18)+1,3),IF(N18="",0,N18*1))+IFERROR(LEFT(O18,FIND("*",O18)-1)*MID(O18,FIND("*",O18)+1,3),IF(O18="",0,O18*1))+IFERROR(LEFT(P18,FIND("*",P18)-1)*MID(P18,FIND("*",P18)+1,3),IF(P18="",0,P18*1))+IFERROR(LEFT(Q18,FIND("*",Q18)-1)*MID(Q18,FIND("*",Q18)+1,3),IF(Q18="",0,Q18*1))+IFERROR(LEFT(R18,FIND("*",R18)-1)*MID(R18,FIND("*",R18)+1,3),IF(R18="",0,R18*1))+IFERROR(LEFT(S18,FIND("*",S18)-1)*MID(S18,FIND("*",S18)+1,3),IF(S18="",0,S18*1))+IFERROR(LEFT(T18,FIND("*",T18)-1)*MID(T18,FIND("*",T18)+1,3),IF(T18="",0,T18*1))+IFERROR(LEFT(U18,FIND("*",U18)-1)*MID(U18,FIND("*",U18)+1,3),IF(U18="",0,U18*1))+IFERROR(LEFT(V18,FIND("*",V18)-1)*MID(V18,FIND("*",V18)+1,3),IF(V18="",0,V18*1))</f>
        <v>35</v>
      </c>
      <c r="Y18" s="23"/>
    </row>
    <row r="19" customFormat="false" ht="15" hidden="false" customHeight="false" outlineLevel="0" collapsed="false">
      <c r="A19" s="17"/>
      <c r="B19" s="18" t="s">
        <v>21</v>
      </c>
      <c r="C19" s="18" t="s">
        <v>27</v>
      </c>
      <c r="D19" s="19" t="s">
        <v>12</v>
      </c>
      <c r="E19" s="20" t="s">
        <v>15</v>
      </c>
      <c r="F19" s="19"/>
      <c r="G19" s="19" t="s">
        <v>15</v>
      </c>
      <c r="H19" s="19"/>
      <c r="I19" s="19" t="s">
        <v>16</v>
      </c>
      <c r="J19" s="19" t="s">
        <v>17</v>
      </c>
      <c r="K19" s="19" t="s">
        <v>24</v>
      </c>
      <c r="L19" s="19" t="s">
        <v>39</v>
      </c>
      <c r="M19" s="19"/>
      <c r="N19" s="20"/>
      <c r="O19" s="19"/>
      <c r="P19" s="19" t="s">
        <v>24</v>
      </c>
      <c r="Q19" s="19" t="s">
        <v>17</v>
      </c>
      <c r="R19" s="19" t="s">
        <v>23</v>
      </c>
      <c r="S19" s="19" t="s">
        <v>25</v>
      </c>
      <c r="T19" s="19" t="s">
        <v>37</v>
      </c>
      <c r="U19" s="19" t="s">
        <v>40</v>
      </c>
      <c r="V19" s="19" t="s">
        <v>41</v>
      </c>
      <c r="W19" s="21" t="n">
        <v>80</v>
      </c>
      <c r="X19" s="22" t="n">
        <f aca="false">IFERROR(LEFT(E19,FIND("*",E19)-1)*MID(E19,FIND("*",E19)+1,3),IF(E19="",0,E19*1))+IFERROR(LEFT(F19,FIND("*",F19)-1)*MID(F19,FIND("*",F19)+1,3),IF(F19="",0,F19*1))+IFERROR(LEFT(G19,FIND("*",G19)-1)*MID(G19,FIND("*",G19)+1,3),IF(G19="",0,G19*1))+IFERROR(LEFT(H19,FIND("*",H19)-1)*MID(H19,FIND("*",H19)+1,3),IF(H19="",0,H19*1))+IFERROR(LEFT(I19,FIND("*",I19)-1)*MID(I19,FIND("*",I19)+1,3),IF(I19="",0,I19*1))+IFERROR(LEFT(J19,FIND("*",J19)-1)*MID(J19,FIND("*",J19)+1,3),IF(J19="",0,J19*1))+IFERROR(LEFT(K19,FIND("*",K19)-1)*MID(K19,FIND("*",K19)+1,3),IF(K19="",0,K19*1))+IFERROR(LEFT(L19,FIND("*",L19)-1)*MID(L19,FIND("*",L19)+1,3),IF(L19="",0,L19*1))+IFERROR(LEFT(M19,FIND("*",M19)-1)*MID(M19,FIND("*",M19)+1,3),IF(M19="",0,M19*1))+IFERROR(LEFT(N19,FIND("*",N19)-1)*MID(N19,FIND("*",N19)+1,3),IF(N19="",0,N19*1))+IFERROR(LEFT(O19,FIND("*",O19)-1)*MID(O19,FIND("*",O19)+1,3),IF(O19="",0,O19*1))+IFERROR(LEFT(P19,FIND("*",P19)-1)*MID(P19,FIND("*",P19)+1,3),IF(P19="",0,P19*1))+IFERROR(LEFT(Q19,FIND("*",Q19)-1)*MID(Q19,FIND("*",Q19)+1,3),IF(Q19="",0,Q19*1))+IFERROR(LEFT(R19,FIND("*",R19)-1)*MID(R19,FIND("*",R19)+1,3),IF(R19="",0,R19*1))+IFERROR(LEFT(S19,FIND("*",S19)-1)*MID(S19,FIND("*",S19)+1,3),IF(S19="",0,S19*1))+IFERROR(LEFT(T19,FIND("*",T19)-1)*MID(T19,FIND("*",T19)+1,3),IF(T19="",0,T19*1))+IFERROR(LEFT(U19,FIND("*",U19)-1)*MID(U19,FIND("*",U19)+1,3),IF(U19="",0,U19*1))+IFERROR(LEFT(V19,FIND("*",V19)-1)*MID(V19,FIND("*",V19)+1,3),IF(V19="",0,V19*1))</f>
        <v>80</v>
      </c>
      <c r="Y19" s="23"/>
    </row>
    <row r="20" customFormat="false" ht="15" hidden="false" customHeight="false" outlineLevel="0" collapsed="false">
      <c r="A20" s="17"/>
      <c r="B20" s="18" t="s">
        <v>30</v>
      </c>
      <c r="C20" s="18" t="s">
        <v>22</v>
      </c>
      <c r="D20" s="19" t="s">
        <v>12</v>
      </c>
      <c r="E20" s="20" t="s">
        <v>15</v>
      </c>
      <c r="F20" s="19"/>
      <c r="G20" s="19" t="s">
        <v>16</v>
      </c>
      <c r="H20" s="19"/>
      <c r="I20" s="19" t="s">
        <v>17</v>
      </c>
      <c r="J20" s="19"/>
      <c r="K20" s="19" t="s">
        <v>42</v>
      </c>
      <c r="L20" s="19"/>
      <c r="M20" s="19"/>
      <c r="N20" s="20"/>
      <c r="O20" s="19"/>
      <c r="P20" s="19"/>
      <c r="Q20" s="19"/>
      <c r="R20" s="19"/>
      <c r="S20" s="19"/>
      <c r="T20" s="19"/>
      <c r="U20" s="19"/>
      <c r="V20" s="19"/>
      <c r="W20" s="21" t="n">
        <v>31</v>
      </c>
      <c r="X20" s="22" t="n">
        <f aca="false">IFERROR(LEFT(E20,FIND("*",E20)-1)*MID(E20,FIND("*",E20)+1,3),IF(E20="",0,E20*1))+IFERROR(LEFT(F20,FIND("*",F20)-1)*MID(F20,FIND("*",F20)+1,3),IF(F20="",0,F20*1))+IFERROR(LEFT(G20,FIND("*",G20)-1)*MID(G20,FIND("*",G20)+1,3),IF(G20="",0,G20*1))+IFERROR(LEFT(H20,FIND("*",H20)-1)*MID(H20,FIND("*",H20)+1,3),IF(H20="",0,H20*1))+IFERROR(LEFT(I20,FIND("*",I20)-1)*MID(I20,FIND("*",I20)+1,3),IF(I20="",0,I20*1))+IFERROR(LEFT(J20,FIND("*",J20)-1)*MID(J20,FIND("*",J20)+1,3),IF(J20="",0,J20*1))+IFERROR(LEFT(K20,FIND("*",K20)-1)*MID(K20,FIND("*",K20)+1,3),IF(K20="",0,K20*1))+IFERROR(LEFT(L20,FIND("*",L20)-1)*MID(L20,FIND("*",L20)+1,3),IF(L20="",0,L20*1))+IFERROR(LEFT(M20,FIND("*",M20)-1)*MID(M20,FIND("*",M20)+1,3),IF(M20="",0,M20*1))+IFERROR(LEFT(N20,FIND("*",N20)-1)*MID(N20,FIND("*",N20)+1,3),IF(N20="",0,N20*1))+IFERROR(LEFT(O20,FIND("*",O20)-1)*MID(O20,FIND("*",O20)+1,3),IF(O20="",0,O20*1))+IFERROR(LEFT(P20,FIND("*",P20)-1)*MID(P20,FIND("*",P20)+1,3),IF(P20="",0,P20*1))+IFERROR(LEFT(Q20,FIND("*",Q20)-1)*MID(Q20,FIND("*",Q20)+1,3),IF(Q20="",0,Q20*1))+IFERROR(LEFT(R20,FIND("*",R20)-1)*MID(R20,FIND("*",R20)+1,3),IF(R20="",0,R20*1))+IFERROR(LEFT(S20,FIND("*",S20)-1)*MID(S20,FIND("*",S20)+1,3),IF(S20="",0,S20*1))+IFERROR(LEFT(T20,FIND("*",T20)-1)*MID(T20,FIND("*",T20)+1,3),IF(T20="",0,T20*1))+IFERROR(LEFT(U20,FIND("*",U20)-1)*MID(U20,FIND("*",U20)+1,3),IF(U20="",0,U20*1))+IFERROR(LEFT(V20,FIND("*",V20)-1)*MID(V20,FIND("*",V20)+1,3),IF(V20="",0,V20*1))</f>
        <v>31</v>
      </c>
      <c r="Y20" s="23"/>
    </row>
    <row r="21" customFormat="false" ht="15" hidden="false" customHeight="false" outlineLevel="0" collapsed="false">
      <c r="A21" s="24" t="s">
        <v>25</v>
      </c>
      <c r="B21" s="25" t="s">
        <v>13</v>
      </c>
      <c r="C21" s="25" t="s">
        <v>14</v>
      </c>
      <c r="D21" s="26" t="s">
        <v>12</v>
      </c>
      <c r="E21" s="27" t="s">
        <v>15</v>
      </c>
      <c r="F21" s="26"/>
      <c r="G21" s="26" t="s">
        <v>23</v>
      </c>
      <c r="H21" s="26"/>
      <c r="I21" s="26" t="s">
        <v>17</v>
      </c>
      <c r="J21" s="26"/>
      <c r="K21" s="26" t="s">
        <v>42</v>
      </c>
      <c r="L21" s="26"/>
      <c r="M21" s="26"/>
      <c r="N21" s="27"/>
      <c r="O21" s="26"/>
      <c r="P21" s="26"/>
      <c r="Q21" s="26"/>
      <c r="R21" s="26"/>
      <c r="S21" s="26"/>
      <c r="T21" s="26"/>
      <c r="U21" s="26"/>
      <c r="V21" s="26"/>
      <c r="W21" s="21" t="n">
        <v>27</v>
      </c>
      <c r="X21" s="22" t="n">
        <f aca="false">IFERROR(LEFT(E21,FIND("*",E21)-1)*MID(E21,FIND("*",E21)+1,3),IF(E21="",0,E21*1))+IFERROR(LEFT(F21,FIND("*",F21)-1)*MID(F21,FIND("*",F21)+1,3),IF(F21="",0,F21*1))+IFERROR(LEFT(G21,FIND("*",G21)-1)*MID(G21,FIND("*",G21)+1,3),IF(G21="",0,G21*1))+IFERROR(LEFT(H21,FIND("*",H21)-1)*MID(H21,FIND("*",H21)+1,3),IF(H21="",0,H21*1))+IFERROR(LEFT(I21,FIND("*",I21)-1)*MID(I21,FIND("*",I21)+1,3),IF(I21="",0,I21*1))+IFERROR(LEFT(J21,FIND("*",J21)-1)*MID(J21,FIND("*",J21)+1,3),IF(J21="",0,J21*1))+IFERROR(LEFT(K21,FIND("*",K21)-1)*MID(K21,FIND("*",K21)+1,3),IF(K21="",0,K21*1))+IFERROR(LEFT(L21,FIND("*",L21)-1)*MID(L21,FIND("*",L21)+1,3),IF(L21="",0,L21*1))+IFERROR(LEFT(M21,FIND("*",M21)-1)*MID(M21,FIND("*",M21)+1,3),IF(M21="",0,M21*1))+IFERROR(LEFT(N21,FIND("*",N21)-1)*MID(N21,FIND("*",N21)+1,3),IF(N21="",0,N21*1))+IFERROR(LEFT(O21,FIND("*",O21)-1)*MID(O21,FIND("*",O21)+1,3),IF(O21="",0,O21*1))+IFERROR(LEFT(P21,FIND("*",P21)-1)*MID(P21,FIND("*",P21)+1,3),IF(P21="",0,P21*1))+IFERROR(LEFT(Q21,FIND("*",Q21)-1)*MID(Q21,FIND("*",Q21)+1,3),IF(Q21="",0,Q21*1))+IFERROR(LEFT(R21,FIND("*",R21)-1)*MID(R21,FIND("*",R21)+1,3),IF(R21="",0,R21*1))+IFERROR(LEFT(S21,FIND("*",S21)-1)*MID(S21,FIND("*",S21)+1,3),IF(S21="",0,S21*1))+IFERROR(LEFT(T21,FIND("*",T21)-1)*MID(T21,FIND("*",T21)+1,3),IF(T21="",0,T21*1))+IFERROR(LEFT(U21,FIND("*",U21)-1)*MID(U21,FIND("*",U21)+1,3),IF(U21="",0,U21*1))+IFERROR(LEFT(V21,FIND("*",V21)-1)*MID(V21,FIND("*",V21)+1,3),IF(V21="",0,V21*1))</f>
        <v>27</v>
      </c>
      <c r="Y21" s="23" t="n">
        <f aca="false">SUM(W21:W24)</f>
        <v>133</v>
      </c>
    </row>
    <row r="22" customFormat="false" ht="15" hidden="false" customHeight="false" outlineLevel="0" collapsed="false">
      <c r="A22" s="24"/>
      <c r="B22" s="25" t="s">
        <v>21</v>
      </c>
      <c r="C22" s="25" t="s">
        <v>27</v>
      </c>
      <c r="D22" s="26" t="s">
        <v>12</v>
      </c>
      <c r="E22" s="27" t="s">
        <v>15</v>
      </c>
      <c r="F22" s="26"/>
      <c r="G22" s="26" t="s">
        <v>15</v>
      </c>
      <c r="H22" s="26"/>
      <c r="I22" s="26" t="s">
        <v>16</v>
      </c>
      <c r="J22" s="26" t="s">
        <v>17</v>
      </c>
      <c r="K22" s="26" t="s">
        <v>24</v>
      </c>
      <c r="L22" s="26"/>
      <c r="M22" s="26"/>
      <c r="N22" s="27"/>
      <c r="O22" s="26"/>
      <c r="P22" s="26"/>
      <c r="Q22" s="26" t="s">
        <v>17</v>
      </c>
      <c r="R22" s="26" t="s">
        <v>43</v>
      </c>
      <c r="S22" s="26"/>
      <c r="T22" s="26" t="s">
        <v>32</v>
      </c>
      <c r="U22" s="26"/>
      <c r="V22" s="26" t="s">
        <v>44</v>
      </c>
      <c r="W22" s="21" t="n">
        <v>60</v>
      </c>
      <c r="X22" s="22" t="n">
        <f aca="false">IFERROR(LEFT(E22,FIND("*",E22)-1)*MID(E22,FIND("*",E22)+1,3),IF(E22="",0,E22*1))+IFERROR(LEFT(F22,FIND("*",F22)-1)*MID(F22,FIND("*",F22)+1,3),IF(F22="",0,F22*1))+IFERROR(LEFT(G22,FIND("*",G22)-1)*MID(G22,FIND("*",G22)+1,3),IF(G22="",0,G22*1))+IFERROR(LEFT(H22,FIND("*",H22)-1)*MID(H22,FIND("*",H22)+1,3),IF(H22="",0,H22*1))+IFERROR(LEFT(I22,FIND("*",I22)-1)*MID(I22,FIND("*",I22)+1,3),IF(I22="",0,I22*1))+IFERROR(LEFT(J22,FIND("*",J22)-1)*MID(J22,FIND("*",J22)+1,3),IF(J22="",0,J22*1))+IFERROR(LEFT(K22,FIND("*",K22)-1)*MID(K22,FIND("*",K22)+1,3),IF(K22="",0,K22*1))+IFERROR(LEFT(L22,FIND("*",L22)-1)*MID(L22,FIND("*",L22)+1,3),IF(L22="",0,L22*1))+IFERROR(LEFT(M22,FIND("*",M22)-1)*MID(M22,FIND("*",M22)+1,3),IF(M22="",0,M22*1))+IFERROR(LEFT(N22,FIND("*",N22)-1)*MID(N22,FIND("*",N22)+1,3),IF(N22="",0,N22*1))+IFERROR(LEFT(O22,FIND("*",O22)-1)*MID(O22,FIND("*",O22)+1,3),IF(O22="",0,O22*1))+IFERROR(LEFT(P22,FIND("*",P22)-1)*MID(P22,FIND("*",P22)+1,3),IF(P22="",0,P22*1))+IFERROR(LEFT(Q22,FIND("*",Q22)-1)*MID(Q22,FIND("*",Q22)+1,3),IF(Q22="",0,Q22*1))+IFERROR(LEFT(R22,FIND("*",R22)-1)*MID(R22,FIND("*",R22)+1,3),IF(R22="",0,R22*1))+IFERROR(LEFT(S22,FIND("*",S22)-1)*MID(S22,FIND("*",S22)+1,3),IF(S22="",0,S22*1))+IFERROR(LEFT(T22,FIND("*",T22)-1)*MID(T22,FIND("*",T22)+1,3),IF(T22="",0,T22*1))+IFERROR(LEFT(U22,FIND("*",U22)-1)*MID(U22,FIND("*",U22)+1,3),IF(U22="",0,U22*1))+IFERROR(LEFT(V22,FIND("*",V22)-1)*MID(V22,FIND("*",V22)+1,3),IF(V22="",0,V22*1))</f>
        <v>60</v>
      </c>
      <c r="Y22" s="23"/>
    </row>
    <row r="23" customFormat="false" ht="15" hidden="false" customHeight="false" outlineLevel="0" collapsed="false">
      <c r="A23" s="24"/>
      <c r="B23" s="25" t="s">
        <v>30</v>
      </c>
      <c r="C23" s="25" t="s">
        <v>22</v>
      </c>
      <c r="D23" s="26" t="s">
        <v>12</v>
      </c>
      <c r="E23" s="27" t="s">
        <v>15</v>
      </c>
      <c r="F23" s="26"/>
      <c r="G23" s="26" t="s">
        <v>16</v>
      </c>
      <c r="H23" s="26"/>
      <c r="I23" s="26" t="s">
        <v>17</v>
      </c>
      <c r="J23" s="26"/>
      <c r="K23" s="26" t="s">
        <v>45</v>
      </c>
      <c r="L23" s="26"/>
      <c r="M23" s="26"/>
      <c r="N23" s="27"/>
      <c r="O23" s="26"/>
      <c r="P23" s="26"/>
      <c r="Q23" s="26"/>
      <c r="R23" s="26"/>
      <c r="S23" s="26"/>
      <c r="T23" s="26"/>
      <c r="U23" s="26"/>
      <c r="V23" s="26"/>
      <c r="W23" s="21" t="n">
        <v>29</v>
      </c>
      <c r="X23" s="22" t="n">
        <f aca="false">IFERROR(LEFT(E23,FIND("*",E23)-1)*MID(E23,FIND("*",E23)+1,3),IF(E23="",0,E23*1))+IFERROR(LEFT(F23,FIND("*",F23)-1)*MID(F23,FIND("*",F23)+1,3),IF(F23="",0,F23*1))+IFERROR(LEFT(G23,FIND("*",G23)-1)*MID(G23,FIND("*",G23)+1,3),IF(G23="",0,G23*1))+IFERROR(LEFT(H23,FIND("*",H23)-1)*MID(H23,FIND("*",H23)+1,3),IF(H23="",0,H23*1))+IFERROR(LEFT(I23,FIND("*",I23)-1)*MID(I23,FIND("*",I23)+1,3),IF(I23="",0,I23*1))+IFERROR(LEFT(J23,FIND("*",J23)-1)*MID(J23,FIND("*",J23)+1,3),IF(J23="",0,J23*1))+IFERROR(LEFT(K23,FIND("*",K23)-1)*MID(K23,FIND("*",K23)+1,3),IF(K23="",0,K23*1))+IFERROR(LEFT(L23,FIND("*",L23)-1)*MID(L23,FIND("*",L23)+1,3),IF(L23="",0,L23*1))+IFERROR(LEFT(M23,FIND("*",M23)-1)*MID(M23,FIND("*",M23)+1,3),IF(M23="",0,M23*1))+IFERROR(LEFT(N23,FIND("*",N23)-1)*MID(N23,FIND("*",N23)+1,3),IF(N23="",0,N23*1))+IFERROR(LEFT(O23,FIND("*",O23)-1)*MID(O23,FIND("*",O23)+1,3),IF(O23="",0,O23*1))+IFERROR(LEFT(P23,FIND("*",P23)-1)*MID(P23,FIND("*",P23)+1,3),IF(P23="",0,P23*1))+IFERROR(LEFT(Q23,FIND("*",Q23)-1)*MID(Q23,FIND("*",Q23)+1,3),IF(Q23="",0,Q23*1))+IFERROR(LEFT(R23,FIND("*",R23)-1)*MID(R23,FIND("*",R23)+1,3),IF(R23="",0,R23*1))+IFERROR(LEFT(S23,FIND("*",S23)-1)*MID(S23,FIND("*",S23)+1,3),IF(S23="",0,S23*1))+IFERROR(LEFT(T23,FIND("*",T23)-1)*MID(T23,FIND("*",T23)+1,3),IF(T23="",0,T23*1))+IFERROR(LEFT(U23,FIND("*",U23)-1)*MID(U23,FIND("*",U23)+1,3),IF(U23="",0,U23*1))+IFERROR(LEFT(V23,FIND("*",V23)-1)*MID(V23,FIND("*",V23)+1,3),IF(V23="",0,V23*1))</f>
        <v>29</v>
      </c>
      <c r="Y23" s="23"/>
    </row>
    <row r="24" customFormat="false" ht="15" hidden="false" customHeight="false" outlineLevel="0" collapsed="false">
      <c r="A24" s="24"/>
      <c r="B24" s="25"/>
      <c r="C24" s="25"/>
      <c r="D24" s="26" t="s">
        <v>19</v>
      </c>
      <c r="E24" s="27"/>
      <c r="F24" s="26" t="s">
        <v>23</v>
      </c>
      <c r="G24" s="26"/>
      <c r="H24" s="26" t="s">
        <v>31</v>
      </c>
      <c r="I24" s="26"/>
      <c r="J24" s="26" t="s">
        <v>45</v>
      </c>
      <c r="K24" s="26"/>
      <c r="L24" s="26"/>
      <c r="M24" s="26"/>
      <c r="N24" s="27"/>
      <c r="O24" s="26"/>
      <c r="P24" s="26"/>
      <c r="Q24" s="26"/>
      <c r="R24" s="26"/>
      <c r="S24" s="26"/>
      <c r="T24" s="26"/>
      <c r="U24" s="26"/>
      <c r="V24" s="26"/>
      <c r="W24" s="21" t="n">
        <v>17</v>
      </c>
      <c r="X24" s="22" t="n">
        <f aca="false">IFERROR(LEFT(E24,FIND("*",E24)-1)*MID(E24,FIND("*",E24)+1,3),IF(E24="",0,E24*1))+IFERROR(LEFT(F24,FIND("*",F24)-1)*MID(F24,FIND("*",F24)+1,3),IF(F24="",0,F24*1))+IFERROR(LEFT(G24,FIND("*",G24)-1)*MID(G24,FIND("*",G24)+1,3),IF(G24="",0,G24*1))+IFERROR(LEFT(H24,FIND("*",H24)-1)*MID(H24,FIND("*",H24)+1,3),IF(H24="",0,H24*1))+IFERROR(LEFT(I24,FIND("*",I24)-1)*MID(I24,FIND("*",I24)+1,3),IF(I24="",0,I24*1))+IFERROR(LEFT(J24,FIND("*",J24)-1)*MID(J24,FIND("*",J24)+1,3),IF(J24="",0,J24*1))+IFERROR(LEFT(K24,FIND("*",K24)-1)*MID(K24,FIND("*",K24)+1,3),IF(K24="",0,K24*1))+IFERROR(LEFT(L24,FIND("*",L24)-1)*MID(L24,FIND("*",L24)+1,3),IF(L24="",0,L24*1))+IFERROR(LEFT(M24,FIND("*",M24)-1)*MID(M24,FIND("*",M24)+1,3),IF(M24="",0,M24*1))+IFERROR(LEFT(N24,FIND("*",N24)-1)*MID(N24,FIND("*",N24)+1,3),IF(N24="",0,N24*1))+IFERROR(LEFT(O24,FIND("*",O24)-1)*MID(O24,FIND("*",O24)+1,3),IF(O24="",0,O24*1))+IFERROR(LEFT(P24,FIND("*",P24)-1)*MID(P24,FIND("*",P24)+1,3),IF(P24="",0,P24*1))+IFERROR(LEFT(Q24,FIND("*",Q24)-1)*MID(Q24,FIND("*",Q24)+1,3),IF(Q24="",0,Q24*1))+IFERROR(LEFT(R24,FIND("*",R24)-1)*MID(R24,FIND("*",R24)+1,3),IF(R24="",0,R24*1))+IFERROR(LEFT(S24,FIND("*",S24)-1)*MID(S24,FIND("*",S24)+1,3),IF(S24="",0,S24*1))+IFERROR(LEFT(T24,FIND("*",T24)-1)*MID(T24,FIND("*",T24)+1,3),IF(T24="",0,T24*1))+IFERROR(LEFT(U24,FIND("*",U24)-1)*MID(U24,FIND("*",U24)+1,3),IF(U24="",0,U24*1))+IFERROR(LEFT(V24,FIND("*",V24)-1)*MID(V24,FIND("*",V24)+1,3),IF(V24="",0,V24*1))</f>
        <v>17</v>
      </c>
      <c r="Y24" s="23"/>
    </row>
    <row r="25" customFormat="false" ht="15" hidden="false" customHeight="false" outlineLevel="0" collapsed="false">
      <c r="A25" s="28"/>
      <c r="B25" s="29" t="s">
        <v>13</v>
      </c>
      <c r="C25" s="29" t="s">
        <v>14</v>
      </c>
      <c r="D25" s="30" t="s">
        <v>12</v>
      </c>
      <c r="E25" s="31" t="s">
        <v>15</v>
      </c>
      <c r="F25" s="30"/>
      <c r="G25" s="30" t="s">
        <v>23</v>
      </c>
      <c r="H25" s="30"/>
      <c r="I25" s="30" t="s">
        <v>17</v>
      </c>
      <c r="J25" s="30"/>
      <c r="K25" s="30" t="s">
        <v>18</v>
      </c>
      <c r="L25" s="30"/>
      <c r="M25" s="30"/>
      <c r="N25" s="31"/>
      <c r="O25" s="30"/>
      <c r="P25" s="30"/>
      <c r="Q25" s="30"/>
      <c r="R25" s="30"/>
      <c r="S25" s="30"/>
      <c r="T25" s="30"/>
      <c r="U25" s="30"/>
      <c r="V25" s="30"/>
      <c r="W25" s="32" t="n">
        <v>30</v>
      </c>
      <c r="X25" s="33" t="n">
        <f aca="false">IFERROR(LEFT(E25,FIND("*",E25)-1)*MID(E25,FIND("*",E25)+1,3),IF(E25="",0,E25*1))+IFERROR(LEFT(F25,FIND("*",F25)-1)*MID(F25,FIND("*",F25)+1,3),IF(F25="",0,F25*1))+IFERROR(LEFT(G25,FIND("*",G25)-1)*MID(G25,FIND("*",G25)+1,3),IF(G25="",0,G25*1))+IFERROR(LEFT(H25,FIND("*",H25)-1)*MID(H25,FIND("*",H25)+1,3),IF(H25="",0,H25*1))+IFERROR(LEFT(I25,FIND("*",I25)-1)*MID(I25,FIND("*",I25)+1,3),IF(I25="",0,I25*1))+IFERROR(LEFT(J25,FIND("*",J25)-1)*MID(J25,FIND("*",J25)+1,3),IF(J25="",0,J25*1))+IFERROR(LEFT(K25,FIND("*",K25)-1)*MID(K25,FIND("*",K25)+1,3),IF(K25="",0,K25*1))+IFERROR(LEFT(L25,FIND("*",L25)-1)*MID(L25,FIND("*",L25)+1,3),IF(L25="",0,L25*1))+IFERROR(LEFT(M25,FIND("*",M25)-1)*MID(M25,FIND("*",M25)+1,3),IF(M25="",0,M25*1))+IFERROR(LEFT(N25,FIND("*",N25)-1)*MID(N25,FIND("*",N25)+1,3),IF(N25="",0,N25*1))+IFERROR(LEFT(O25,FIND("*",O25)-1)*MID(O25,FIND("*",O25)+1,3),IF(O25="",0,O25*1))+IFERROR(LEFT(P25,FIND("*",P25)-1)*MID(P25,FIND("*",P25)+1,3),IF(P25="",0,P25*1))+IFERROR(LEFT(Q25,FIND("*",Q25)-1)*MID(Q25,FIND("*",Q25)+1,3),IF(Q25="",0,Q25*1))+IFERROR(LEFT(R25,FIND("*",R25)-1)*MID(R25,FIND("*",R25)+1,3),IF(R25="",0,R25*1))+IFERROR(LEFT(S25,FIND("*",S25)-1)*MID(S25,FIND("*",S25)+1,3),IF(S25="",0,S25*1))+IFERROR(LEFT(T25,FIND("*",T25)-1)*MID(T25,FIND("*",T25)+1,3),IF(T25="",0,T25*1))+IFERROR(LEFT(U25,FIND("*",U25)-1)*MID(U25,FIND("*",U25)+1,3),IF(U25="",0,U25*1))+IFERROR(LEFT(V25,FIND("*",V25)-1)*MID(V25,FIND("*",V25)+1,3),IF(V25="",0,V25*1))</f>
        <v>30</v>
      </c>
      <c r="Y25" s="34" t="n">
        <f aca="false">SUM(W25:W25)</f>
        <v>30</v>
      </c>
    </row>
    <row r="27" customFormat="false" ht="15" hidden="false" customHeight="false" outlineLevel="0" collapsed="false">
      <c r="A27" s="35" t="s">
        <v>46</v>
      </c>
    </row>
    <row r="28" customFormat="false" ht="15" hidden="false" customHeight="false" outlineLevel="0" collapsed="false">
      <c r="A28" s="36" t="s">
        <v>47</v>
      </c>
    </row>
    <row r="29" customFormat="false" ht="15" hidden="false" customHeight="false" outlineLevel="0" collapsed="false">
      <c r="A29" s="36" t="s">
        <v>48</v>
      </c>
    </row>
    <row r="30" customFormat="false" ht="15" hidden="false" customHeight="false" outlineLevel="0" collapsed="false">
      <c r="A30" s="36" t="s">
        <v>49</v>
      </c>
    </row>
    <row r="31" customFormat="false" ht="15" hidden="false" customHeight="false" outlineLevel="0" collapsed="false">
      <c r="A31" s="36" t="s">
        <v>50</v>
      </c>
    </row>
    <row r="32" customFormat="false" ht="15" hidden="false" customHeight="false" outlineLevel="0" collapsed="false">
      <c r="A32" s="36" t="s">
        <v>51</v>
      </c>
    </row>
    <row r="33" customFormat="false" ht="15" hidden="false" customHeight="false" outlineLevel="0" collapsed="false">
      <c r="A33" s="36" t="s">
        <v>52</v>
      </c>
    </row>
    <row r="34" customFormat="false" ht="15" hidden="false" customHeight="false" outlineLevel="0" collapsed="false">
      <c r="A34" s="36" t="s">
        <v>53</v>
      </c>
    </row>
    <row r="35" customFormat="false" ht="15" hidden="false" customHeight="false" outlineLevel="0" collapsed="false">
      <c r="A35" s="36" t="s">
        <v>54</v>
      </c>
    </row>
    <row r="36" customFormat="false" ht="15" hidden="false" customHeight="false" outlineLevel="0" collapsed="false">
      <c r="A36" s="36" t="s">
        <v>55</v>
      </c>
    </row>
  </sheetData>
  <mergeCells count="27">
    <mergeCell ref="A2:A3"/>
    <mergeCell ref="B2:B3"/>
    <mergeCell ref="C2:C3"/>
    <mergeCell ref="D2:D3"/>
    <mergeCell ref="W2:W3"/>
    <mergeCell ref="X2:X3"/>
    <mergeCell ref="Y2:Y3"/>
    <mergeCell ref="A4:A6"/>
    <mergeCell ref="B4:B5"/>
    <mergeCell ref="C4:C5"/>
    <mergeCell ref="Y4:Y6"/>
    <mergeCell ref="A7:A9"/>
    <mergeCell ref="Y7:Y9"/>
    <mergeCell ref="A10:A12"/>
    <mergeCell ref="Y10:Y12"/>
    <mergeCell ref="A13:A16"/>
    <mergeCell ref="Y13:Y16"/>
    <mergeCell ref="B14:B15"/>
    <mergeCell ref="C14:C15"/>
    <mergeCell ref="A17:A20"/>
    <mergeCell ref="B17:B18"/>
    <mergeCell ref="C17:C18"/>
    <mergeCell ref="Y17:Y20"/>
    <mergeCell ref="A21:A24"/>
    <mergeCell ref="Y21:Y24"/>
    <mergeCell ref="B23:B24"/>
    <mergeCell ref="C23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37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2026-09-14T19:08:02Z</dcterms:created>
  <dc:creator>openpyxl</dc:creator>
  <dc:description/>
  <dc:language>en-US</dc:language>
  <cp:lastModifiedBy/>
  <dcterms:modified xsi:type="dcterms:W3CDTF">2026-09-14T19:08:02Z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